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refreshAllConnections="1" defaultThemeVersion="124226"/>
  <mc:AlternateContent xmlns:mc="http://schemas.openxmlformats.org/markup-compatibility/2006">
    <mc:Choice Requires="x15">
      <x15ac:absPath xmlns:x15ac="http://schemas.microsoft.com/office/spreadsheetml/2010/11/ac" url="C:\Users\blundeen\AppData\Roaming\Microsoft\Templates\"/>
    </mc:Choice>
  </mc:AlternateContent>
  <xr:revisionPtr revIDLastSave="0" documentId="13_ncr:1_{6089F659-7E4C-4D68-A3E1-7690D0F38D8D}" xr6:coauthVersionLast="36" xr6:coauthVersionMax="36" xr10:uidLastSave="{00000000-0000-0000-0000-000000000000}"/>
  <bookViews>
    <workbookView xWindow="210" yWindow="405" windowWidth="18840" windowHeight="13725" xr2:uid="{00000000-000D-0000-FFFF-FFFF00000000}"/>
  </bookViews>
  <sheets>
    <sheet name="Sign-in" sheetId="1" r:id="rId1"/>
    <sheet name="634" sheetId="2" r:id="rId2"/>
    <sheet name="Data" sheetId="3" r:id="rId3"/>
  </sheets>
  <definedNames>
    <definedName name="EndDay">Data!$A$30</definedName>
    <definedName name="EndMonth">Data!$A$29</definedName>
    <definedName name="ExternalData_1" localSheetId="2" hidden="1">Data!$C$1:$I$7</definedName>
    <definedName name="FirstDay">'Sign-in'!$B$3</definedName>
    <definedName name="StartDay">Data!$A$28</definedName>
    <definedName name="StartMonth">Data!$A$27</definedName>
    <definedName name="StartYear">Data!$A$26</definedName>
    <definedName name="Time">Data!$A$2:$A$24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K35" i="1" l="1"/>
  <c r="J35" i="1"/>
  <c r="E7" i="2" l="1"/>
  <c r="E6" i="2" s="1"/>
  <c r="AG7" i="2" l="1"/>
  <c r="AG6" i="2" s="1"/>
  <c r="AF7" i="2"/>
  <c r="AF6" i="2" s="1"/>
  <c r="AE7" i="2"/>
  <c r="AE6" i="2" s="1"/>
  <c r="AD7" i="2"/>
  <c r="AD6" i="2" s="1"/>
  <c r="AC7" i="2"/>
  <c r="AC6" i="2" s="1"/>
  <c r="AB7" i="2"/>
  <c r="AB6" i="2" s="1"/>
  <c r="AA7" i="2"/>
  <c r="AA6" i="2" s="1"/>
  <c r="Z7" i="2"/>
  <c r="Z6" i="2" s="1"/>
  <c r="Y7" i="2"/>
  <c r="Y6" i="2" s="1"/>
  <c r="X7" i="2"/>
  <c r="X6" i="2" s="1"/>
  <c r="W7" i="2"/>
  <c r="W6" i="2" s="1"/>
  <c r="V7" i="2"/>
  <c r="V6" i="2" s="1"/>
  <c r="U7" i="2"/>
  <c r="U6" i="2" s="1"/>
  <c r="T7" i="2"/>
  <c r="T6" i="2" s="1"/>
  <c r="S7" i="2"/>
  <c r="S6" i="2" s="1"/>
  <c r="R7" i="2"/>
  <c r="R6" i="2" s="1"/>
  <c r="Q7" i="2"/>
  <c r="Q6" i="2" s="1"/>
  <c r="P7" i="2"/>
  <c r="P6" i="2" s="1"/>
  <c r="O7" i="2"/>
  <c r="O6" i="2" s="1"/>
  <c r="N7" i="2"/>
  <c r="N6" i="2" s="1"/>
  <c r="M7" i="2"/>
  <c r="M6" i="2" s="1"/>
  <c r="L7" i="2"/>
  <c r="L6" i="2" s="1"/>
  <c r="K7" i="2"/>
  <c r="K6" i="2" s="1"/>
  <c r="J7" i="2"/>
  <c r="J6" i="2" s="1"/>
  <c r="I7" i="2"/>
  <c r="I6" i="2" s="1"/>
  <c r="H7" i="2"/>
  <c r="H6" i="2" s="1"/>
  <c r="G7" i="2"/>
  <c r="G6" i="2" s="1"/>
  <c r="F7" i="2"/>
  <c r="F6" i="2" s="1"/>
  <c r="D7" i="2"/>
  <c r="D6" i="2" s="1"/>
  <c r="C7" i="2"/>
  <c r="C6" i="2" s="1"/>
  <c r="AG9" i="2" l="1"/>
  <c r="AG8" i="2" s="1"/>
  <c r="AF9" i="2"/>
  <c r="AF8" i="2" s="1"/>
  <c r="AE9" i="2"/>
  <c r="AE8" i="2" s="1"/>
  <c r="AD9" i="2"/>
  <c r="AD8" i="2" s="1"/>
  <c r="AC9" i="2"/>
  <c r="AC8" i="2" s="1"/>
  <c r="AB9" i="2"/>
  <c r="AB8" i="2" s="1"/>
  <c r="AA9" i="2"/>
  <c r="AA8" i="2" s="1"/>
  <c r="Z9" i="2"/>
  <c r="Z8" i="2" s="1"/>
  <c r="Y9" i="2"/>
  <c r="Y8" i="2" s="1"/>
  <c r="X9" i="2"/>
  <c r="X8" i="2" s="1"/>
  <c r="W9" i="2"/>
  <c r="W8" i="2" s="1"/>
  <c r="V9" i="2"/>
  <c r="V8" i="2" s="1"/>
  <c r="U9" i="2"/>
  <c r="U8" i="2" s="1"/>
  <c r="T9" i="2"/>
  <c r="T8" i="2" s="1"/>
  <c r="S9" i="2"/>
  <c r="S8" i="2" s="1"/>
  <c r="R9" i="2"/>
  <c r="R8" i="2" s="1"/>
  <c r="Q9" i="2"/>
  <c r="Q8" i="2" s="1"/>
  <c r="P9" i="2"/>
  <c r="P8" i="2" s="1"/>
  <c r="O9" i="2"/>
  <c r="O8" i="2" s="1"/>
  <c r="N9" i="2"/>
  <c r="N8" i="2" s="1"/>
  <c r="M9" i="2"/>
  <c r="M8" i="2" s="1"/>
  <c r="L9" i="2"/>
  <c r="L8" i="2" s="1"/>
  <c r="K9" i="2"/>
  <c r="K8" i="2" s="1"/>
  <c r="J9" i="2"/>
  <c r="J8" i="2" s="1"/>
  <c r="I9" i="2"/>
  <c r="I8" i="2" s="1"/>
  <c r="H9" i="2"/>
  <c r="H8" i="2" s="1"/>
  <c r="G9" i="2"/>
  <c r="G8" i="2" s="1"/>
  <c r="F9" i="2"/>
  <c r="F8" i="2" s="1"/>
  <c r="E9" i="2"/>
  <c r="E8" i="2" s="1"/>
  <c r="D9" i="2"/>
  <c r="D8" i="2" s="1"/>
  <c r="C9" i="2"/>
  <c r="C8" i="2" s="1"/>
  <c r="B3" i="1" l="1"/>
  <c r="H3" i="1" s="1"/>
  <c r="G35" i="1"/>
  <c r="C1" i="2" l="1"/>
  <c r="B4" i="1"/>
  <c r="H4" i="1" s="1"/>
  <c r="D1" i="2" l="1"/>
  <c r="C2" i="2"/>
  <c r="C4" i="2"/>
  <c r="I3" i="1"/>
  <c r="D4" i="2"/>
  <c r="B5" i="1"/>
  <c r="H5" i="1" s="1"/>
  <c r="A4" i="1"/>
  <c r="E1" i="2" l="1"/>
  <c r="D2" i="2"/>
  <c r="AI9" i="2"/>
  <c r="I4" i="1"/>
  <c r="E4" i="2"/>
  <c r="B6" i="1"/>
  <c r="H6" i="1" s="1"/>
  <c r="A5" i="1"/>
  <c r="F1" i="2" l="1"/>
  <c r="E2" i="2"/>
  <c r="I5" i="1"/>
  <c r="F4" i="2"/>
  <c r="B7" i="1"/>
  <c r="H7" i="1" s="1"/>
  <c r="A6" i="1"/>
  <c r="G1" i="2" l="1"/>
  <c r="F2" i="2"/>
  <c r="I6" i="1"/>
  <c r="G4" i="2"/>
  <c r="B8" i="1"/>
  <c r="H8" i="1" s="1"/>
  <c r="A7" i="1"/>
  <c r="H1" i="2" l="1"/>
  <c r="G2" i="2"/>
  <c r="I7" i="1"/>
  <c r="H4" i="2"/>
  <c r="B9" i="1"/>
  <c r="H9" i="1" s="1"/>
  <c r="A8" i="1"/>
  <c r="I1" i="2" l="1"/>
  <c r="H2" i="2"/>
  <c r="I8" i="1"/>
  <c r="I4" i="2"/>
  <c r="B10" i="1"/>
  <c r="H10" i="1" s="1"/>
  <c r="A9" i="1"/>
  <c r="J1" i="2" l="1"/>
  <c r="I2" i="2"/>
  <c r="I9" i="1"/>
  <c r="J4" i="2"/>
  <c r="B11" i="1"/>
  <c r="H11" i="1" s="1"/>
  <c r="A10" i="1"/>
  <c r="K1" i="2" l="1"/>
  <c r="J2" i="2"/>
  <c r="I10" i="1"/>
  <c r="K4" i="2"/>
  <c r="B12" i="1"/>
  <c r="H12" i="1" s="1"/>
  <c r="A11" i="1"/>
  <c r="L1" i="2" l="1"/>
  <c r="K2" i="2"/>
  <c r="I11" i="1"/>
  <c r="L4" i="2"/>
  <c r="A12" i="1"/>
  <c r="B13" i="1"/>
  <c r="H13" i="1" s="1"/>
  <c r="M1" i="2" l="1"/>
  <c r="L2" i="2"/>
  <c r="I12" i="1"/>
  <c r="M4" i="2"/>
  <c r="B14" i="1"/>
  <c r="H14" i="1" s="1"/>
  <c r="A13" i="1"/>
  <c r="N1" i="2" l="1"/>
  <c r="M2" i="2"/>
  <c r="I13" i="1"/>
  <c r="N4" i="2"/>
  <c r="B15" i="1"/>
  <c r="H15" i="1" s="1"/>
  <c r="A14" i="1"/>
  <c r="O1" i="2" l="1"/>
  <c r="N2" i="2"/>
  <c r="I14" i="1"/>
  <c r="O4" i="2"/>
  <c r="B16" i="1"/>
  <c r="H16" i="1" s="1"/>
  <c r="A15" i="1"/>
  <c r="P1" i="2" l="1"/>
  <c r="O2" i="2"/>
  <c r="I15" i="1"/>
  <c r="P4" i="2"/>
  <c r="B17" i="1"/>
  <c r="H17" i="1" s="1"/>
  <c r="A16" i="1"/>
  <c r="Q1" i="2" l="1"/>
  <c r="P2" i="2"/>
  <c r="I16" i="1"/>
  <c r="Q4" i="2"/>
  <c r="B18" i="1"/>
  <c r="H18" i="1" s="1"/>
  <c r="A17" i="1"/>
  <c r="R1" i="2" l="1"/>
  <c r="Q2" i="2"/>
  <c r="I17" i="1"/>
  <c r="R4" i="2"/>
  <c r="B19" i="1"/>
  <c r="H19" i="1" s="1"/>
  <c r="A18" i="1"/>
  <c r="S1" i="2" l="1"/>
  <c r="R2" i="2"/>
  <c r="I18" i="1"/>
  <c r="S4" i="2"/>
  <c r="B20" i="1"/>
  <c r="H20" i="1" s="1"/>
  <c r="A19" i="1"/>
  <c r="T1" i="2" l="1"/>
  <c r="S2" i="2"/>
  <c r="I19" i="1"/>
  <c r="T4" i="2"/>
  <c r="A20" i="1"/>
  <c r="B21" i="1"/>
  <c r="H21" i="1" s="1"/>
  <c r="U1" i="2" l="1"/>
  <c r="T2" i="2"/>
  <c r="I20" i="1"/>
  <c r="U4" i="2"/>
  <c r="B22" i="1"/>
  <c r="H22" i="1" s="1"/>
  <c r="A21" i="1"/>
  <c r="V1" i="2" l="1"/>
  <c r="U2" i="2"/>
  <c r="I21" i="1"/>
  <c r="V4" i="2"/>
  <c r="B23" i="1"/>
  <c r="H23" i="1" s="1"/>
  <c r="A22" i="1"/>
  <c r="W1" i="2" l="1"/>
  <c r="V2" i="2"/>
  <c r="I22" i="1"/>
  <c r="W4" i="2"/>
  <c r="B24" i="1"/>
  <c r="H24" i="1" s="1"/>
  <c r="A23" i="1"/>
  <c r="X1" i="2" l="1"/>
  <c r="W2" i="2"/>
  <c r="I23" i="1"/>
  <c r="X4" i="2"/>
  <c r="B25" i="1"/>
  <c r="H25" i="1" s="1"/>
  <c r="A24" i="1"/>
  <c r="Y1" i="2" l="1"/>
  <c r="X2" i="2"/>
  <c r="I24" i="1"/>
  <c r="Y4" i="2"/>
  <c r="B26" i="1"/>
  <c r="H26" i="1" s="1"/>
  <c r="A25" i="1"/>
  <c r="Z1" i="2" l="1"/>
  <c r="Y2" i="2"/>
  <c r="I25" i="1"/>
  <c r="Z4" i="2"/>
  <c r="B27" i="1"/>
  <c r="H27" i="1" s="1"/>
  <c r="A26" i="1"/>
  <c r="AA1" i="2" l="1"/>
  <c r="Z2" i="2"/>
  <c r="I26" i="1"/>
  <c r="AA4" i="2"/>
  <c r="B28" i="1"/>
  <c r="H28" i="1" s="1"/>
  <c r="A27" i="1"/>
  <c r="AB1" i="2" l="1"/>
  <c r="AA2" i="2"/>
  <c r="I27" i="1"/>
  <c r="AB4" i="2"/>
  <c r="A28" i="1"/>
  <c r="B29" i="1"/>
  <c r="H29" i="1" s="1"/>
  <c r="AC1" i="2" l="1"/>
  <c r="AB2" i="2"/>
  <c r="I28" i="1"/>
  <c r="AC4" i="2"/>
  <c r="B30" i="1"/>
  <c r="H30" i="1" s="1"/>
  <c r="A29" i="1"/>
  <c r="AD1" i="2" l="1"/>
  <c r="AC2" i="2"/>
  <c r="I29" i="1"/>
  <c r="AD4" i="2"/>
  <c r="B31" i="1"/>
  <c r="H31" i="1" s="1"/>
  <c r="A30" i="1"/>
  <c r="AE1" i="2" l="1"/>
  <c r="AD2" i="2"/>
  <c r="I30" i="1"/>
  <c r="AE4" i="2"/>
  <c r="B32" i="1"/>
  <c r="H32" i="1" s="1"/>
  <c r="A31" i="1"/>
  <c r="AF1" i="2" l="1"/>
  <c r="AE2" i="2"/>
  <c r="I31" i="1"/>
  <c r="AF4" i="2"/>
  <c r="B33" i="1"/>
  <c r="H33" i="1" s="1"/>
  <c r="A32" i="1"/>
  <c r="AG1" i="2" l="1"/>
  <c r="AG2" i="2" s="1"/>
  <c r="AF2" i="2"/>
  <c r="I32" i="1"/>
  <c r="A33" i="1"/>
  <c r="AG4" i="2" l="1"/>
  <c r="AI4" i="2" s="1"/>
  <c r="H35" i="1"/>
  <c r="K36" i="1" s="1"/>
  <c r="I33" i="1"/>
  <c r="I35" i="1" s="1"/>
  <c r="K37" i="1" s="1"/>
  <c r="AI7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Labs" description="Connection to the 'Labs' query in the workbook." type="5" refreshedVersion="6" background="1" saveData="1">
    <dbPr connection="Provider=Microsoft.Mashup.OleDb.1;Data Source=$Workbook$;Location=Labs;Extended Properties=&quot;&quot;" command="SELECT * FROM [Labs]"/>
  </connection>
</connections>
</file>

<file path=xl/sharedStrings.xml><?xml version="1.0" encoding="utf-8"?>
<sst xmlns="http://schemas.openxmlformats.org/spreadsheetml/2006/main" count="26" uniqueCount="24">
  <si>
    <t>DATE</t>
  </si>
  <si>
    <t>IN</t>
  </si>
  <si>
    <t>LUNCH</t>
  </si>
  <si>
    <t>OUT</t>
  </si>
  <si>
    <t>Total</t>
  </si>
  <si>
    <t>Under</t>
  </si>
  <si>
    <t>WEEK</t>
  </si>
  <si>
    <t>H</t>
  </si>
  <si>
    <t>Hrs paid</t>
  </si>
  <si>
    <t>Time</t>
  </si>
  <si>
    <t>Vacation</t>
  </si>
  <si>
    <t>Start Year</t>
  </si>
  <si>
    <t>Start Day</t>
  </si>
  <si>
    <t>End Day</t>
  </si>
  <si>
    <t>Start Month</t>
  </si>
  <si>
    <t>End Month</t>
  </si>
  <si>
    <t>Notes</t>
  </si>
  <si>
    <t>SL</t>
  </si>
  <si>
    <t>VA</t>
  </si>
  <si>
    <t>Sick</t>
  </si>
  <si>
    <t>Total Work</t>
  </si>
  <si>
    <t>Total Leave</t>
  </si>
  <si>
    <t>SL Code</t>
  </si>
  <si>
    <t>VA 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</si>
</sst>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\ [$]ddd\,\ mmmm\ dd\,\ yyyy;\ [$]@"/>
    <numFmt numFmtId="165" formatCode="h:mm;@"/>
    <numFmt numFmtId="166" formatCode="ddd"/>
    <numFmt numFmtId="167" formatCode="dd"/>
  </numFmts>
  <fonts count="2" x14ac:knownFonts="1">
    <font>
      <sz val="10"/>
      <color rgb="FF000000"/>
      <name val="Arial"/>
      <family val="2"/>
    </font>
    <font>
      <b/>
      <sz val="10"/>
      <color rgb="FF0000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B3D58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 tint="-0.249977111117893"/>
        <bgColor indexed="64"/>
      </patternFill>
    </fill>
  </fills>
  <borders count="22">
    <border>
      <left/>
      <right/>
      <top/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theme="0" tint="-0.24994659260841701"/>
      </right>
      <top style="thin">
        <color auto="1"/>
      </top>
      <bottom style="double">
        <color theme="0" tint="-0.34998626667073579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auto="1"/>
      </top>
      <bottom style="double">
        <color theme="0" tint="-0.34998626667073579"/>
      </bottom>
      <diagonal/>
    </border>
    <border>
      <left style="thin">
        <color auto="1"/>
      </left>
      <right style="thin">
        <color theme="0" tint="-0.24994659260841701"/>
      </right>
      <top style="double">
        <color theme="0" tint="-0.34998626667073579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double">
        <color theme="0" tint="-0.34998626667073579"/>
      </top>
      <bottom style="thin">
        <color auto="1"/>
      </bottom>
      <diagonal/>
    </border>
    <border>
      <left style="thin">
        <color auto="1"/>
      </left>
      <right style="thin">
        <color theme="0" tint="-0.34998626667073579"/>
      </right>
      <top style="thin">
        <color auto="1"/>
      </top>
      <bottom style="double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auto="1"/>
      </top>
      <bottom style="double">
        <color theme="0" tint="-0.34998626667073579"/>
      </bottom>
      <diagonal/>
    </border>
    <border>
      <left style="thin">
        <color auto="1"/>
      </left>
      <right style="thin">
        <color theme="0" tint="-0.34998626667073579"/>
      </right>
      <top style="double">
        <color theme="0" tint="-0.34998626667073579"/>
      </top>
      <bottom style="thin">
        <color auto="1"/>
      </bottom>
      <diagonal/>
    </border>
    <border>
      <left style="thin">
        <color theme="0" tint="-0.34998626667073579"/>
      </left>
      <right style="thin">
        <color theme="0" tint="-0.34998626667073579"/>
      </right>
      <top style="double">
        <color theme="0" tint="-0.34998626667073579"/>
      </top>
      <bottom style="thin">
        <color auto="1"/>
      </bottom>
      <diagonal/>
    </border>
    <border>
      <left style="thin">
        <color theme="0" tint="-0.24994659260841701"/>
      </left>
      <right/>
      <top style="thin">
        <color auto="1"/>
      </top>
      <bottom style="double">
        <color theme="0" tint="-0.34998626667073579"/>
      </bottom>
      <diagonal/>
    </border>
    <border>
      <left style="thin">
        <color theme="0" tint="-0.24994659260841701"/>
      </left>
      <right/>
      <top style="double">
        <color theme="0" tint="-0.34998626667073579"/>
      </top>
      <bottom style="thin">
        <color auto="1"/>
      </bottom>
      <diagonal/>
    </border>
    <border>
      <left style="thin">
        <color theme="0" tint="-0.34998626667073579"/>
      </left>
      <right/>
      <top style="thin">
        <color auto="1"/>
      </top>
      <bottom style="double">
        <color theme="0" tint="-0.34998626667073579"/>
      </bottom>
      <diagonal/>
    </border>
    <border>
      <left style="thin">
        <color theme="0" tint="-0.34998626667073579"/>
      </left>
      <right/>
      <top style="double">
        <color theme="0" tint="-0.34998626667073579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theme="0" tint="-0.34998626667073579"/>
      </bottom>
      <diagonal/>
    </border>
  </borders>
  <cellStyleXfs count="1">
    <xf numFmtId="0" fontId="0" fillId="0" borderId="0"/>
  </cellStyleXfs>
  <cellXfs count="67">
    <xf numFmtId="0" fontId="0" fillId="0" borderId="0" xfId="0" applyAlignment="1">
      <alignment wrapText="1"/>
    </xf>
    <xf numFmtId="18" fontId="0" fillId="0" borderId="0" xfId="0" applyNumberFormat="1" applyFont="1" applyAlignment="1">
      <alignment horizontal="center"/>
    </xf>
    <xf numFmtId="0" fontId="0" fillId="0" borderId="1" xfId="0" applyBorder="1" applyAlignment="1">
      <alignment wrapText="1"/>
    </xf>
    <xf numFmtId="164" fontId="0" fillId="0" borderId="0" xfId="0" applyNumberFormat="1" applyFont="1" applyAlignment="1">
      <alignment horizontal="center"/>
    </xf>
    <xf numFmtId="18" fontId="1" fillId="2" borderId="2" xfId="0" applyNumberFormat="1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164" fontId="1" fillId="2" borderId="2" xfId="0" applyNumberFormat="1" applyFont="1" applyFill="1" applyBorder="1" applyAlignment="1">
      <alignment horizontal="center"/>
    </xf>
    <xf numFmtId="165" fontId="0" fillId="0" borderId="0" xfId="0" applyNumberFormat="1" applyFont="1" applyAlignment="1">
      <alignment horizontal="center"/>
    </xf>
    <xf numFmtId="2" fontId="1" fillId="3" borderId="0" xfId="0" applyNumberFormat="1" applyFont="1" applyFill="1" applyAlignment="1">
      <alignment horizontal="center"/>
    </xf>
    <xf numFmtId="2" fontId="1" fillId="3" borderId="0" xfId="0" applyNumberFormat="1" applyFont="1" applyFill="1" applyAlignment="1">
      <alignment horizontal="center"/>
    </xf>
    <xf numFmtId="18" fontId="1" fillId="3" borderId="0" xfId="0" applyNumberFormat="1" applyFont="1" applyFill="1" applyAlignment="1">
      <alignment horizontal="center"/>
    </xf>
    <xf numFmtId="164" fontId="1" fillId="3" borderId="0" xfId="0" applyNumberFormat="1" applyFont="1" applyFill="1" applyAlignment="1">
      <alignment horizontal="center"/>
    </xf>
    <xf numFmtId="1" fontId="1" fillId="2" borderId="2" xfId="0" applyNumberFormat="1" applyFont="1" applyFill="1" applyBorder="1" applyAlignment="1">
      <alignment horizontal="center"/>
    </xf>
    <xf numFmtId="165" fontId="1" fillId="3" borderId="0" xfId="0" applyNumberFormat="1" applyFont="1" applyFill="1" applyAlignment="1">
      <alignment horizontal="center"/>
    </xf>
    <xf numFmtId="165" fontId="1" fillId="2" borderId="2" xfId="0" applyNumberFormat="1" applyFont="1" applyFill="1" applyBorder="1" applyAlignment="1">
      <alignment horizontal="center"/>
    </xf>
    <xf numFmtId="2" fontId="0" fillId="0" borderId="0" xfId="0" applyNumberFormat="1" applyFont="1" applyFill="1" applyAlignment="1">
      <alignment horizontal="center"/>
    </xf>
    <xf numFmtId="0" fontId="1" fillId="0" borderId="0" xfId="0" applyFont="1" applyAlignment="1">
      <alignment horizontal="right" wrapText="1"/>
    </xf>
    <xf numFmtId="0" fontId="0" fillId="4" borderId="0" xfId="0" applyFill="1" applyAlignment="1">
      <alignment wrapText="1"/>
    </xf>
    <xf numFmtId="1" fontId="1" fillId="3" borderId="0" xfId="0" applyNumberFormat="1" applyFont="1" applyFill="1" applyAlignment="1">
      <alignment horizontal="center"/>
    </xf>
    <xf numFmtId="0" fontId="1" fillId="0" borderId="3" xfId="0" applyFont="1" applyBorder="1" applyAlignment="1">
      <alignment horizontal="right" wrapText="1"/>
    </xf>
    <xf numFmtId="18" fontId="0" fillId="5" borderId="3" xfId="0" applyNumberFormat="1" applyFont="1" applyFill="1" applyBorder="1" applyAlignment="1">
      <alignment horizontal="center"/>
    </xf>
    <xf numFmtId="2" fontId="0" fillId="6" borderId="3" xfId="0" applyNumberFormat="1" applyFont="1" applyFill="1" applyBorder="1" applyAlignment="1">
      <alignment horizontal="right"/>
    </xf>
    <xf numFmtId="2" fontId="0" fillId="7" borderId="3" xfId="0" applyNumberFormat="1" applyFont="1" applyFill="1" applyBorder="1" applyAlignment="1">
      <alignment horizontal="right"/>
    </xf>
    <xf numFmtId="164" fontId="0" fillId="0" borderId="3" xfId="0" applyNumberFormat="1" applyFont="1" applyFill="1" applyBorder="1" applyAlignment="1">
      <alignment horizontal="right"/>
    </xf>
    <xf numFmtId="0" fontId="0" fillId="5" borderId="3" xfId="0" applyFill="1" applyBorder="1" applyAlignment="1">
      <alignment wrapText="1"/>
    </xf>
    <xf numFmtId="0" fontId="0" fillId="5" borderId="3" xfId="0" applyFont="1" applyFill="1" applyBorder="1" applyAlignment="1">
      <alignment wrapText="1"/>
    </xf>
    <xf numFmtId="18" fontId="0" fillId="0" borderId="0" xfId="0" applyNumberFormat="1" applyAlignment="1">
      <alignment wrapText="1"/>
    </xf>
    <xf numFmtId="14" fontId="0" fillId="0" borderId="0" xfId="0" applyNumberFormat="1" applyAlignment="1">
      <alignment wrapText="1"/>
    </xf>
    <xf numFmtId="166" fontId="0" fillId="0" borderId="0" xfId="0" applyNumberFormat="1" applyAlignment="1">
      <alignment wrapText="1"/>
    </xf>
    <xf numFmtId="164" fontId="0" fillId="7" borderId="3" xfId="0" applyNumberFormat="1" applyFont="1" applyFill="1" applyBorder="1" applyAlignment="1">
      <alignment horizontal="right"/>
    </xf>
    <xf numFmtId="2" fontId="0" fillId="5" borderId="3" xfId="0" applyNumberFormat="1" applyFont="1" applyFill="1" applyBorder="1" applyAlignment="1">
      <alignment horizontal="right"/>
    </xf>
    <xf numFmtId="2" fontId="1" fillId="0" borderId="0" xfId="0" applyNumberFormat="1" applyFont="1" applyAlignment="1">
      <alignment wrapText="1"/>
    </xf>
    <xf numFmtId="164" fontId="0" fillId="6" borderId="4" xfId="0" applyNumberFormat="1" applyFont="1" applyFill="1" applyBorder="1" applyAlignment="1">
      <alignment horizontal="right" textRotation="90"/>
    </xf>
    <xf numFmtId="164" fontId="0" fillId="0" borderId="4" xfId="0" applyNumberFormat="1" applyFont="1" applyFill="1" applyBorder="1" applyAlignment="1">
      <alignment horizontal="right" textRotation="90"/>
    </xf>
    <xf numFmtId="0" fontId="0" fillId="7" borderId="5" xfId="0" applyFill="1" applyBorder="1" applyAlignment="1">
      <alignment horizontal="center" wrapText="1"/>
    </xf>
    <xf numFmtId="0" fontId="0" fillId="7" borderId="6" xfId="0" applyFill="1" applyBorder="1" applyAlignment="1">
      <alignment horizontal="center" wrapText="1"/>
    </xf>
    <xf numFmtId="39" fontId="1" fillId="6" borderId="7" xfId="0" applyNumberFormat="1" applyFont="1" applyFill="1" applyBorder="1" applyAlignment="1">
      <alignment wrapText="1"/>
    </xf>
    <xf numFmtId="39" fontId="1" fillId="8" borderId="7" xfId="0" applyNumberFormat="1" applyFont="1" applyFill="1" applyBorder="1" applyAlignment="1">
      <alignment wrapText="1"/>
    </xf>
    <xf numFmtId="0" fontId="0" fillId="0" borderId="7" xfId="0" applyBorder="1" applyAlignment="1">
      <alignment wrapText="1"/>
    </xf>
    <xf numFmtId="0" fontId="0" fillId="7" borderId="8" xfId="0" applyFill="1" applyBorder="1" applyAlignment="1">
      <alignment horizontal="center" wrapText="1"/>
    </xf>
    <xf numFmtId="0" fontId="0" fillId="7" borderId="9" xfId="0" applyFill="1" applyBorder="1" applyAlignment="1">
      <alignment horizontal="center" wrapText="1"/>
    </xf>
    <xf numFmtId="0" fontId="0" fillId="7" borderId="10" xfId="0" applyFill="1" applyBorder="1" applyAlignment="1">
      <alignment wrapText="1"/>
    </xf>
    <xf numFmtId="0" fontId="0" fillId="7" borderId="11" xfId="0" applyFill="1" applyBorder="1" applyAlignment="1">
      <alignment wrapText="1"/>
    </xf>
    <xf numFmtId="0" fontId="0" fillId="7" borderId="12" xfId="0" applyFill="1" applyBorder="1" applyAlignment="1">
      <alignment wrapText="1"/>
    </xf>
    <xf numFmtId="0" fontId="0" fillId="7" borderId="13" xfId="0" applyFill="1" applyBorder="1" applyAlignment="1">
      <alignment wrapText="1"/>
    </xf>
    <xf numFmtId="0" fontId="0" fillId="7" borderId="14" xfId="0" applyFill="1" applyBorder="1" applyAlignment="1">
      <alignment wrapText="1"/>
    </xf>
    <xf numFmtId="0" fontId="0" fillId="7" borderId="15" xfId="0" applyFill="1" applyBorder="1" applyAlignment="1">
      <alignment wrapText="1"/>
    </xf>
    <xf numFmtId="0" fontId="1" fillId="0" borderId="0" xfId="0" applyFont="1" applyAlignment="1">
      <alignment wrapText="1"/>
    </xf>
    <xf numFmtId="164" fontId="0" fillId="0" borderId="7" xfId="0" applyNumberFormat="1" applyFont="1" applyFill="1" applyBorder="1" applyAlignment="1">
      <alignment horizontal="right" textRotation="90"/>
    </xf>
    <xf numFmtId="0" fontId="0" fillId="7" borderId="7" xfId="0" applyFill="1" applyBorder="1" applyAlignment="1">
      <alignment horizontal="center" wrapText="1"/>
    </xf>
    <xf numFmtId="0" fontId="0" fillId="7" borderId="16" xfId="0" applyFill="1" applyBorder="1" applyAlignment="1">
      <alignment horizontal="center" wrapText="1"/>
    </xf>
    <xf numFmtId="0" fontId="0" fillId="7" borderId="17" xfId="0" applyFill="1" applyBorder="1" applyAlignment="1">
      <alignment wrapText="1"/>
    </xf>
    <xf numFmtId="0" fontId="0" fillId="7" borderId="18" xfId="0" applyFill="1" applyBorder="1" applyAlignment="1">
      <alignment wrapText="1"/>
    </xf>
    <xf numFmtId="0" fontId="0" fillId="7" borderId="19" xfId="0" applyFill="1" applyBorder="1" applyAlignment="1">
      <alignment wrapText="1"/>
    </xf>
    <xf numFmtId="0" fontId="0" fillId="0" borderId="20" xfId="0" applyBorder="1" applyAlignment="1">
      <alignment wrapText="1"/>
    </xf>
    <xf numFmtId="0" fontId="0" fillId="8" borderId="6" xfId="0" applyFill="1" applyBorder="1" applyAlignment="1">
      <alignment horizontal="center" wrapText="1"/>
    </xf>
    <xf numFmtId="0" fontId="0" fillId="0" borderId="6" xfId="0" applyBorder="1" applyAlignment="1">
      <alignment wrapText="1"/>
    </xf>
    <xf numFmtId="0" fontId="0" fillId="7" borderId="20" xfId="0" applyFill="1" applyBorder="1" applyAlignment="1">
      <alignment wrapText="1"/>
    </xf>
    <xf numFmtId="0" fontId="0" fillId="7" borderId="21" xfId="0" applyFill="1" applyBorder="1" applyAlignment="1">
      <alignment horizontal="center" wrapText="1"/>
    </xf>
    <xf numFmtId="0" fontId="0" fillId="7" borderId="21" xfId="0" applyFill="1" applyBorder="1" applyAlignment="1">
      <alignment wrapText="1"/>
    </xf>
    <xf numFmtId="0" fontId="1" fillId="6" borderId="0" xfId="0" applyNumberFormat="1" applyFont="1" applyFill="1" applyAlignment="1">
      <alignment wrapText="1"/>
    </xf>
    <xf numFmtId="167" fontId="0" fillId="8" borderId="0" xfId="0" applyNumberFormat="1" applyFill="1" applyAlignment="1">
      <alignment horizontal="center" wrapText="1"/>
    </xf>
    <xf numFmtId="0" fontId="0" fillId="0" borderId="0" xfId="0" applyNumberFormat="1" applyAlignment="1">
      <alignment wrapText="1"/>
    </xf>
    <xf numFmtId="0" fontId="0" fillId="0" borderId="0" xfId="0" applyAlignment="1">
      <alignment horizontal="center" wrapText="1"/>
    </xf>
    <xf numFmtId="0" fontId="0" fillId="0" borderId="0" xfId="0" applyNumberFormat="1" applyAlignment="1">
      <alignment horizontal="center" wrapText="1"/>
    </xf>
    <xf numFmtId="0" fontId="1" fillId="0" borderId="0" xfId="0" applyFont="1" applyAlignment="1">
      <alignment horizontal="right" wrapText="1"/>
    </xf>
    <xf numFmtId="0" fontId="1" fillId="0" borderId="5" xfId="0" applyFont="1" applyBorder="1" applyAlignment="1">
      <alignment horizontal="right" wrapText="1"/>
    </xf>
  </cellXfs>
  <cellStyles count="1">
    <cellStyle name="Normal" xfId="0" builtinId="0"/>
  </cellStyles>
  <dxfs count="14">
    <dxf>
      <numFmt numFmtId="0" formatCode="General"/>
      <alignment horizontal="general" vertical="bottom" textRotation="0" wrapText="1" indent="0" justifyLastLine="0" shrinkToFit="0" readingOrder="0"/>
    </dxf>
    <dxf>
      <numFmt numFmtId="0" formatCode="General"/>
      <alignment horizontal="center" vertical="bottom" textRotation="0" wrapText="1" indent="0" justifyLastLine="0" shrinkToFit="0" readingOrder="0"/>
    </dxf>
    <dxf>
      <numFmt numFmtId="0" formatCode="General"/>
      <alignment horizontal="center" vertical="bottom" textRotation="0" wrapText="1" indent="0" justifyLastLine="0" shrinkToFit="0" readingOrder="0"/>
    </dxf>
    <dxf>
      <numFmt numFmtId="0" formatCode="General"/>
      <alignment horizontal="center" vertical="bottom" textRotation="0" wrapText="1" indent="0" justifyLastLine="0" shrinkToFit="0" readingOrder="0"/>
    </dxf>
    <dxf>
      <numFmt numFmtId="0" formatCode="General"/>
      <alignment horizontal="center" vertical="bottom" textRotation="0" wrapText="1" indent="0" justifyLastLine="0" shrinkToFit="0" readingOrder="0"/>
    </dxf>
    <dxf>
      <numFmt numFmtId="0" formatCode="General"/>
      <alignment horizontal="center" vertical="bottom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font>
        <b/>
        <i val="0"/>
      </font>
      <fill>
        <patternFill>
          <bgColor theme="0" tint="-0.24994659260841701"/>
        </patternFill>
      </fill>
    </dxf>
    <dxf>
      <numFmt numFmtId="2" formatCode="0.00"/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numFmt numFmtId="2" formatCode="0.00"/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19050</xdr:colOff>
          <xdr:row>1</xdr:row>
          <xdr:rowOff>76200</xdr:rowOff>
        </xdr:from>
        <xdr:to>
          <xdr:col>16</xdr:col>
          <xdr:colOff>590550</xdr:colOff>
          <xdr:row>2</xdr:row>
          <xdr:rowOff>114300</xdr:rowOff>
        </xdr:to>
        <xdr:sp macro="" textlink="">
          <xdr:nvSpPr>
            <xdr:cNvPr id="1028" name="btnReset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Click to auto fill in values in yellow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3</xdr:row>
          <xdr:rowOff>85725</xdr:rowOff>
        </xdr:from>
        <xdr:to>
          <xdr:col>16</xdr:col>
          <xdr:colOff>581025</xdr:colOff>
          <xdr:row>4</xdr:row>
          <xdr:rowOff>133350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Click to recalculate values in yellow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5</xdr:row>
          <xdr:rowOff>114300</xdr:rowOff>
        </xdr:from>
        <xdr:to>
          <xdr:col>16</xdr:col>
          <xdr:colOff>590550</xdr:colOff>
          <xdr:row>7</xdr:row>
          <xdr:rowOff>28575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Click to clear values in yellow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38100</xdr:colOff>
      <xdr:row>8</xdr:row>
      <xdr:rowOff>47626</xdr:rowOff>
    </xdr:from>
    <xdr:to>
      <xdr:col>17</xdr:col>
      <xdr:colOff>76200</xdr:colOff>
      <xdr:row>11</xdr:row>
      <xdr:rowOff>152401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8029575" y="1352551"/>
          <a:ext cx="2476500" cy="59055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NOTE:</a:t>
          </a:r>
          <a:r>
            <a:rPr lang="en-US" sz="1100" baseline="0"/>
            <a:t> FILL IN ONLY THE YELLOW NOT THE GREEN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257175</xdr:colOff>
          <xdr:row>0</xdr:row>
          <xdr:rowOff>238125</xdr:rowOff>
        </xdr:from>
        <xdr:to>
          <xdr:col>37</xdr:col>
          <xdr:colOff>19050</xdr:colOff>
          <xdr:row>0</xdr:row>
          <xdr:rowOff>1076325</xdr:rowOff>
        </xdr:to>
        <xdr:sp macro="" textlink="">
          <xdr:nvSpPr>
            <xdr:cNvPr id="2049" name="btnRecalc634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Click to Recalculate Dates Based on "Data" Sheet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200-000000000000}" autoFormatId="16" applyNumberFormats="0" applyBorderFormats="0" applyFontFormats="0" applyPatternFormats="0" applyAlignmentFormats="0" applyWidthHeightFormats="0">
  <queryTableRefresh nextId="15">
    <queryTableFields count="7">
      <queryTableField id="8" name="Type" tableColumnId="9"/>
      <queryTableField id="9" name="PREV" tableColumnId="10"/>
      <queryTableField id="10" name="CREDIT" tableColumnId="11"/>
      <queryTableField id="11" name="USED" tableColumnId="12"/>
      <queryTableField id="12" name="MISC" tableColumnId="13"/>
      <queryTableField id="13" name="CURRENT" tableColumnId="14"/>
      <queryTableField id="14" name="AS OF" tableColumnId="1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Labs" displayName="Labs" ref="C1:I7" tableType="queryTable" insertRowShift="1" totalsRowShown="0">
  <autoFilter ref="C1:I7" xr:uid="{00000000-0009-0000-0100-000001000000}"/>
  <tableColumns count="7">
    <tableColumn id="9" xr3:uid="{00000000-0010-0000-0000-000009000000}" uniqueName="9" name="Type" queryTableFieldId="8" dataDxfId="6"/>
    <tableColumn id="10" xr3:uid="{00000000-0010-0000-0000-00000A000000}" uniqueName="10" name="PREV" queryTableFieldId="9" dataDxfId="5"/>
    <tableColumn id="11" xr3:uid="{00000000-0010-0000-0000-00000B000000}" uniqueName="11" name="CREDIT" queryTableFieldId="10" dataDxfId="4"/>
    <tableColumn id="12" xr3:uid="{00000000-0010-0000-0000-00000C000000}" uniqueName="12" name="USED" queryTableFieldId="11" dataDxfId="3"/>
    <tableColumn id="13" xr3:uid="{00000000-0010-0000-0000-00000D000000}" uniqueName="13" name="MISC" queryTableFieldId="12" dataDxfId="2"/>
    <tableColumn id="14" xr3:uid="{00000000-0010-0000-0000-00000E000000}" uniqueName="14" name="CURRENT" queryTableFieldId="13" dataDxfId="1"/>
    <tableColumn id="15" xr3:uid="{00000000-0010-0000-0000-00000F000000}" uniqueName="15" name="AS OF" queryTableFieldId="14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37"/>
  <sheetViews>
    <sheetView showGridLines="0" tabSelected="1" workbookViewId="0">
      <selection activeCell="D3" sqref="D3"/>
    </sheetView>
  </sheetViews>
  <sheetFormatPr defaultColWidth="9.140625" defaultRowHeight="12.75" customHeight="1" x14ac:dyDescent="0.2"/>
  <cols>
    <col min="2" max="2" width="23.7109375" customWidth="1"/>
    <col min="3" max="3" width="2.85546875" bestFit="1" customWidth="1"/>
    <col min="8" max="8" width="6.5703125" customWidth="1"/>
    <col min="9" max="11" width="7" customWidth="1"/>
    <col min="12" max="12" width="15.28515625" customWidth="1"/>
  </cols>
  <sheetData>
    <row r="1" spans="1:15" x14ac:dyDescent="0.2">
      <c r="A1" s="6" t="s">
        <v>6</v>
      </c>
      <c r="B1" s="6" t="s">
        <v>0</v>
      </c>
      <c r="C1" s="6" t="s">
        <v>7</v>
      </c>
      <c r="D1" s="4" t="s">
        <v>1</v>
      </c>
      <c r="E1" s="14" t="s">
        <v>2</v>
      </c>
      <c r="F1" s="14" t="s">
        <v>2</v>
      </c>
      <c r="G1" s="4" t="s">
        <v>3</v>
      </c>
      <c r="H1" s="12" t="s">
        <v>4</v>
      </c>
      <c r="I1" s="5" t="s">
        <v>5</v>
      </c>
      <c r="J1" s="5" t="s">
        <v>17</v>
      </c>
      <c r="K1" s="5" t="s">
        <v>18</v>
      </c>
      <c r="L1" s="5" t="s">
        <v>16</v>
      </c>
    </row>
    <row r="2" spans="1:15" ht="13.5" customHeight="1" x14ac:dyDescent="0.2">
      <c r="B2" s="2"/>
      <c r="D2" s="2"/>
      <c r="E2" s="2"/>
      <c r="F2" s="2"/>
      <c r="G2" s="2"/>
      <c r="H2" s="2"/>
      <c r="I2" s="2"/>
      <c r="J2" s="2"/>
      <c r="K2" s="2"/>
      <c r="L2" s="2"/>
      <c r="N2" s="27"/>
      <c r="O2" s="28"/>
    </row>
    <row r="3" spans="1:15" x14ac:dyDescent="0.2">
      <c r="A3" s="16">
        <v>1</v>
      </c>
      <c r="B3" s="29">
        <f>DATEVALUE(StartYear &amp; "-" &amp; StartMonth &amp; "-" &amp; StartDay)</f>
        <v>43131</v>
      </c>
      <c r="C3" s="19"/>
      <c r="D3" s="20">
        <v>0.3125</v>
      </c>
      <c r="E3" s="20"/>
      <c r="F3" s="20"/>
      <c r="G3" s="20"/>
      <c r="H3" s="21" t="str">
        <f>_xlfn.IFS($C3="H",8,$C3="S",0,OR($B3="",$G3=""),"",OR(WEEKDAY($B3,1)=1,WEEKDAY($B3,1)=7),"",SUM((SUM($G3,-$D3)*24),(SUM($E3,-$F3)*24))=0,"",SUM((SUM($G3,-$D3)*24),(SUM($E3,-$F3)*24))&gt;0,MROUND(SUM((SUM($G3,-$D3)*24),(SUM($E3,-$F3)*24)),0.5))</f>
        <v/>
      </c>
      <c r="I3" s="22" t="str">
        <f>IF($H3="","",IF($H3&lt;8,8-$H3,""))</f>
        <v/>
      </c>
      <c r="J3" s="30"/>
      <c r="K3" s="30"/>
      <c r="L3" s="24"/>
    </row>
    <row r="4" spans="1:15" x14ac:dyDescent="0.2">
      <c r="A4" s="16">
        <f>IF($B4&lt;&gt;"",IF(NOT(WEEKDAY($B3,3)=6),$A3,$A3+1),"")</f>
        <v>1</v>
      </c>
      <c r="B4" s="23">
        <f>IF(AND(SUM(FirstDay,1)&lt;=DATEVALUE(StartYear &amp; "-" &amp; EndMonth &amp; "-" &amp; EndDay),FirstDay&lt;&gt;""),SUM(FirstDay,1),"")</f>
        <v>43132</v>
      </c>
      <c r="C4" s="19"/>
      <c r="D4" s="20"/>
      <c r="E4" s="20"/>
      <c r="F4" s="20"/>
      <c r="G4" s="20"/>
      <c r="H4" s="21" t="str">
        <f t="shared" ref="H4:H33" si="0">_xlfn.IFS($C4="H",8,$C4="S",0,OR($B4="",$G4=""),"",OR(WEEKDAY($B4,1)=1,WEEKDAY($B4,1)=7),"",SUM((SUM($G4,-$D4)*24),(SUM($E4,-$F4)*24))=0,"",SUM((SUM($G4,-$D4)*24),(SUM($E4,-$F4)*24))&gt;0,MROUND(SUM((SUM($G4,-$D4)*24),(SUM($E4,-$F4)*24)),0.5))</f>
        <v/>
      </c>
      <c r="I4" s="22" t="str">
        <f t="shared" ref="I4:I33" si="1">IF($H4="","",IF($H4&lt;8,8-$H4,""))</f>
        <v/>
      </c>
      <c r="J4" s="30"/>
      <c r="K4" s="30"/>
      <c r="L4" s="24"/>
    </row>
    <row r="5" spans="1:15" x14ac:dyDescent="0.2">
      <c r="A5" s="16">
        <f t="shared" ref="A5:A33" si="2">IF($B5&lt;&gt;"",IF(NOT(WEEKDAY($B4,3)=6),$A4,$A4+1),"")</f>
        <v>1</v>
      </c>
      <c r="B5" s="23">
        <f t="shared" ref="B5:B33" si="3">IF(AND(SUM($B4,1)&lt;=DATEVALUE(StartYear &amp; "-" &amp; EndMonth &amp; "-" &amp; EndDay),$B4&lt;&gt;""),SUM($B4,1),"")</f>
        <v>43133</v>
      </c>
      <c r="C5" s="19"/>
      <c r="D5" s="20"/>
      <c r="E5" s="20"/>
      <c r="F5" s="20"/>
      <c r="G5" s="20"/>
      <c r="H5" s="21" t="str">
        <f t="shared" si="0"/>
        <v/>
      </c>
      <c r="I5" s="22" t="str">
        <f t="shared" si="1"/>
        <v/>
      </c>
      <c r="J5" s="30"/>
      <c r="K5" s="30"/>
      <c r="L5" s="24"/>
    </row>
    <row r="6" spans="1:15" x14ac:dyDescent="0.2">
      <c r="A6" s="16">
        <f t="shared" si="2"/>
        <v>1</v>
      </c>
      <c r="B6" s="23">
        <f t="shared" si="3"/>
        <v>43134</v>
      </c>
      <c r="C6" s="19"/>
      <c r="D6" s="20"/>
      <c r="E6" s="20"/>
      <c r="F6" s="20"/>
      <c r="G6" s="20"/>
      <c r="H6" s="21" t="str">
        <f t="shared" si="0"/>
        <v/>
      </c>
      <c r="I6" s="22" t="str">
        <f t="shared" si="1"/>
        <v/>
      </c>
      <c r="J6" s="30"/>
      <c r="K6" s="30"/>
      <c r="L6" s="24"/>
    </row>
    <row r="7" spans="1:15" x14ac:dyDescent="0.2">
      <c r="A7" s="16">
        <f t="shared" si="2"/>
        <v>1</v>
      </c>
      <c r="B7" s="23">
        <f t="shared" si="3"/>
        <v>43135</v>
      </c>
      <c r="C7" s="19"/>
      <c r="D7" s="20"/>
      <c r="E7" s="20"/>
      <c r="F7" s="20"/>
      <c r="G7" s="20"/>
      <c r="H7" s="21" t="str">
        <f t="shared" si="0"/>
        <v/>
      </c>
      <c r="I7" s="22" t="str">
        <f t="shared" si="1"/>
        <v/>
      </c>
      <c r="J7" s="30"/>
      <c r="K7" s="30"/>
      <c r="L7" s="24"/>
    </row>
    <row r="8" spans="1:15" x14ac:dyDescent="0.2">
      <c r="A8" s="16">
        <f t="shared" si="2"/>
        <v>2</v>
      </c>
      <c r="B8" s="23">
        <f t="shared" si="3"/>
        <v>43136</v>
      </c>
      <c r="C8" s="19"/>
      <c r="D8" s="20"/>
      <c r="E8" s="20"/>
      <c r="F8" s="20"/>
      <c r="G8" s="20"/>
      <c r="H8" s="21" t="str">
        <f t="shared" si="0"/>
        <v/>
      </c>
      <c r="I8" s="22" t="str">
        <f t="shared" si="1"/>
        <v/>
      </c>
      <c r="J8" s="30"/>
      <c r="K8" s="30"/>
      <c r="L8" s="24"/>
    </row>
    <row r="9" spans="1:15" x14ac:dyDescent="0.2">
      <c r="A9" s="16">
        <f t="shared" si="2"/>
        <v>2</v>
      </c>
      <c r="B9" s="23">
        <f t="shared" si="3"/>
        <v>43137</v>
      </c>
      <c r="C9" s="19"/>
      <c r="D9" s="20"/>
      <c r="E9" s="20"/>
      <c r="F9" s="20"/>
      <c r="G9" s="20"/>
      <c r="H9" s="21" t="str">
        <f t="shared" si="0"/>
        <v/>
      </c>
      <c r="I9" s="22" t="str">
        <f t="shared" si="1"/>
        <v/>
      </c>
      <c r="J9" s="30"/>
      <c r="K9" s="30"/>
      <c r="L9" s="25"/>
    </row>
    <row r="10" spans="1:15" x14ac:dyDescent="0.2">
      <c r="A10" s="16">
        <f t="shared" si="2"/>
        <v>2</v>
      </c>
      <c r="B10" s="23">
        <f t="shared" si="3"/>
        <v>43138</v>
      </c>
      <c r="C10" s="19"/>
      <c r="D10" s="20"/>
      <c r="E10" s="20"/>
      <c r="F10" s="20"/>
      <c r="G10" s="20"/>
      <c r="H10" s="21" t="str">
        <f t="shared" si="0"/>
        <v/>
      </c>
      <c r="I10" s="22" t="str">
        <f t="shared" si="1"/>
        <v/>
      </c>
      <c r="J10" s="30"/>
      <c r="K10" s="30"/>
      <c r="L10" s="25"/>
    </row>
    <row r="11" spans="1:15" x14ac:dyDescent="0.2">
      <c r="A11" s="16">
        <f t="shared" si="2"/>
        <v>2</v>
      </c>
      <c r="B11" s="23">
        <f t="shared" si="3"/>
        <v>43139</v>
      </c>
      <c r="C11" s="19"/>
      <c r="D11" s="20"/>
      <c r="E11" s="20"/>
      <c r="F11" s="20"/>
      <c r="G11" s="20"/>
      <c r="H11" s="21" t="str">
        <f t="shared" si="0"/>
        <v/>
      </c>
      <c r="I11" s="22" t="str">
        <f t="shared" si="1"/>
        <v/>
      </c>
      <c r="J11" s="30"/>
      <c r="K11" s="30"/>
      <c r="L11" s="25"/>
    </row>
    <row r="12" spans="1:15" x14ac:dyDescent="0.2">
      <c r="A12" s="16">
        <f t="shared" si="2"/>
        <v>2</v>
      </c>
      <c r="B12" s="23">
        <f t="shared" si="3"/>
        <v>43140</v>
      </c>
      <c r="C12" s="19"/>
      <c r="D12" s="20"/>
      <c r="E12" s="20"/>
      <c r="F12" s="20"/>
      <c r="G12" s="20"/>
      <c r="H12" s="21" t="str">
        <f t="shared" si="0"/>
        <v/>
      </c>
      <c r="I12" s="22" t="str">
        <f t="shared" si="1"/>
        <v/>
      </c>
      <c r="J12" s="30"/>
      <c r="K12" s="30"/>
      <c r="L12" s="25"/>
    </row>
    <row r="13" spans="1:15" x14ac:dyDescent="0.2">
      <c r="A13" s="16">
        <f t="shared" si="2"/>
        <v>2</v>
      </c>
      <c r="B13" s="23">
        <f t="shared" si="3"/>
        <v>43141</v>
      </c>
      <c r="C13" s="19"/>
      <c r="D13" s="20"/>
      <c r="E13" s="20"/>
      <c r="F13" s="20"/>
      <c r="G13" s="20"/>
      <c r="H13" s="21" t="str">
        <f t="shared" si="0"/>
        <v/>
      </c>
      <c r="I13" s="22" t="str">
        <f t="shared" si="1"/>
        <v/>
      </c>
      <c r="J13" s="30"/>
      <c r="K13" s="30"/>
      <c r="L13" s="25"/>
    </row>
    <row r="14" spans="1:15" x14ac:dyDescent="0.2">
      <c r="A14" s="16">
        <f t="shared" si="2"/>
        <v>2</v>
      </c>
      <c r="B14" s="23">
        <f t="shared" si="3"/>
        <v>43142</v>
      </c>
      <c r="C14" s="19"/>
      <c r="D14" s="20"/>
      <c r="E14" s="20"/>
      <c r="F14" s="20"/>
      <c r="G14" s="20"/>
      <c r="H14" s="21" t="str">
        <f t="shared" si="0"/>
        <v/>
      </c>
      <c r="I14" s="22" t="str">
        <f t="shared" si="1"/>
        <v/>
      </c>
      <c r="J14" s="30"/>
      <c r="K14" s="30"/>
      <c r="L14" s="25"/>
    </row>
    <row r="15" spans="1:15" x14ac:dyDescent="0.2">
      <c r="A15" s="16">
        <f t="shared" si="2"/>
        <v>3</v>
      </c>
      <c r="B15" s="23">
        <f t="shared" si="3"/>
        <v>43143</v>
      </c>
      <c r="C15" s="19"/>
      <c r="D15" s="20"/>
      <c r="E15" s="20"/>
      <c r="F15" s="20"/>
      <c r="G15" s="20"/>
      <c r="H15" s="21" t="str">
        <f t="shared" si="0"/>
        <v/>
      </c>
      <c r="I15" s="22" t="str">
        <f t="shared" si="1"/>
        <v/>
      </c>
      <c r="J15" s="30"/>
      <c r="K15" s="30"/>
      <c r="L15" s="25"/>
    </row>
    <row r="16" spans="1:15" x14ac:dyDescent="0.2">
      <c r="A16" s="16">
        <f t="shared" si="2"/>
        <v>3</v>
      </c>
      <c r="B16" s="23">
        <f t="shared" si="3"/>
        <v>43144</v>
      </c>
      <c r="C16" s="19"/>
      <c r="D16" s="20"/>
      <c r="E16" s="20"/>
      <c r="F16" s="20"/>
      <c r="G16" s="20"/>
      <c r="H16" s="21" t="str">
        <f t="shared" si="0"/>
        <v/>
      </c>
      <c r="I16" s="22" t="str">
        <f t="shared" si="1"/>
        <v/>
      </c>
      <c r="J16" s="30"/>
      <c r="K16" s="30"/>
      <c r="L16" s="25"/>
    </row>
    <row r="17" spans="1:12" x14ac:dyDescent="0.2">
      <c r="A17" s="16">
        <f t="shared" si="2"/>
        <v>3</v>
      </c>
      <c r="B17" s="23">
        <f t="shared" si="3"/>
        <v>43145</v>
      </c>
      <c r="C17" s="19"/>
      <c r="D17" s="20"/>
      <c r="E17" s="20"/>
      <c r="F17" s="20"/>
      <c r="G17" s="20"/>
      <c r="H17" s="21" t="str">
        <f t="shared" si="0"/>
        <v/>
      </c>
      <c r="I17" s="22" t="str">
        <f t="shared" si="1"/>
        <v/>
      </c>
      <c r="J17" s="30"/>
      <c r="K17" s="30"/>
      <c r="L17" s="25"/>
    </row>
    <row r="18" spans="1:12" x14ac:dyDescent="0.2">
      <c r="A18" s="16">
        <f t="shared" si="2"/>
        <v>3</v>
      </c>
      <c r="B18" s="23">
        <f t="shared" si="3"/>
        <v>43146</v>
      </c>
      <c r="C18" s="19"/>
      <c r="D18" s="20"/>
      <c r="E18" s="20"/>
      <c r="F18" s="20"/>
      <c r="G18" s="20"/>
      <c r="H18" s="21" t="str">
        <f t="shared" si="0"/>
        <v/>
      </c>
      <c r="I18" s="22" t="str">
        <f t="shared" si="1"/>
        <v/>
      </c>
      <c r="J18" s="30"/>
      <c r="K18" s="30"/>
      <c r="L18" s="25"/>
    </row>
    <row r="19" spans="1:12" x14ac:dyDescent="0.2">
      <c r="A19" s="16">
        <f t="shared" si="2"/>
        <v>3</v>
      </c>
      <c r="B19" s="23">
        <f t="shared" si="3"/>
        <v>43147</v>
      </c>
      <c r="C19" s="19"/>
      <c r="D19" s="20"/>
      <c r="E19" s="20"/>
      <c r="F19" s="20"/>
      <c r="G19" s="20"/>
      <c r="H19" s="21" t="str">
        <f t="shared" si="0"/>
        <v/>
      </c>
      <c r="I19" s="22" t="str">
        <f t="shared" si="1"/>
        <v/>
      </c>
      <c r="J19" s="30"/>
      <c r="K19" s="30"/>
      <c r="L19" s="25"/>
    </row>
    <row r="20" spans="1:12" x14ac:dyDescent="0.2">
      <c r="A20" s="16">
        <f t="shared" si="2"/>
        <v>3</v>
      </c>
      <c r="B20" s="23">
        <f t="shared" si="3"/>
        <v>43148</v>
      </c>
      <c r="C20" s="19"/>
      <c r="D20" s="20"/>
      <c r="E20" s="20"/>
      <c r="F20" s="20"/>
      <c r="G20" s="20"/>
      <c r="H20" s="21" t="str">
        <f t="shared" si="0"/>
        <v/>
      </c>
      <c r="I20" s="22" t="str">
        <f t="shared" si="1"/>
        <v/>
      </c>
      <c r="J20" s="30"/>
      <c r="K20" s="30"/>
      <c r="L20" s="24"/>
    </row>
    <row r="21" spans="1:12" x14ac:dyDescent="0.2">
      <c r="A21" s="16">
        <f t="shared" si="2"/>
        <v>3</v>
      </c>
      <c r="B21" s="23">
        <f t="shared" si="3"/>
        <v>43149</v>
      </c>
      <c r="C21" s="19"/>
      <c r="D21" s="20"/>
      <c r="E21" s="20"/>
      <c r="F21" s="20"/>
      <c r="G21" s="20"/>
      <c r="H21" s="21" t="str">
        <f t="shared" si="0"/>
        <v/>
      </c>
      <c r="I21" s="22" t="str">
        <f t="shared" si="1"/>
        <v/>
      </c>
      <c r="J21" s="30"/>
      <c r="K21" s="30"/>
      <c r="L21" s="24"/>
    </row>
    <row r="22" spans="1:12" x14ac:dyDescent="0.2">
      <c r="A22" s="16">
        <f t="shared" si="2"/>
        <v>4</v>
      </c>
      <c r="B22" s="23">
        <f t="shared" si="3"/>
        <v>43150</v>
      </c>
      <c r="C22" s="19"/>
      <c r="D22" s="20"/>
      <c r="E22" s="20"/>
      <c r="F22" s="20"/>
      <c r="G22" s="20"/>
      <c r="H22" s="21" t="str">
        <f t="shared" si="0"/>
        <v/>
      </c>
      <c r="I22" s="22" t="str">
        <f t="shared" si="1"/>
        <v/>
      </c>
      <c r="J22" s="30"/>
      <c r="K22" s="30"/>
      <c r="L22" s="24"/>
    </row>
    <row r="23" spans="1:12" x14ac:dyDescent="0.2">
      <c r="A23" s="16">
        <f t="shared" si="2"/>
        <v>4</v>
      </c>
      <c r="B23" s="23">
        <f t="shared" si="3"/>
        <v>43151</v>
      </c>
      <c r="C23" s="19"/>
      <c r="D23" s="20"/>
      <c r="E23" s="20"/>
      <c r="F23" s="20"/>
      <c r="G23" s="20"/>
      <c r="H23" s="21" t="str">
        <f t="shared" si="0"/>
        <v/>
      </c>
      <c r="I23" s="22" t="str">
        <f t="shared" si="1"/>
        <v/>
      </c>
      <c r="J23" s="30"/>
      <c r="K23" s="30"/>
      <c r="L23" s="24"/>
    </row>
    <row r="24" spans="1:12" x14ac:dyDescent="0.2">
      <c r="A24" s="16">
        <f t="shared" si="2"/>
        <v>4</v>
      </c>
      <c r="B24" s="23">
        <f t="shared" si="3"/>
        <v>43152</v>
      </c>
      <c r="C24" s="19"/>
      <c r="D24" s="20"/>
      <c r="E24" s="20"/>
      <c r="F24" s="20"/>
      <c r="G24" s="20"/>
      <c r="H24" s="21" t="str">
        <f t="shared" si="0"/>
        <v/>
      </c>
      <c r="I24" s="22" t="str">
        <f t="shared" si="1"/>
        <v/>
      </c>
      <c r="J24" s="30"/>
      <c r="K24" s="30"/>
      <c r="L24" s="24"/>
    </row>
    <row r="25" spans="1:12" x14ac:dyDescent="0.2">
      <c r="A25" s="16">
        <f t="shared" si="2"/>
        <v>4</v>
      </c>
      <c r="B25" s="23">
        <f t="shared" si="3"/>
        <v>43153</v>
      </c>
      <c r="C25" s="19"/>
      <c r="D25" s="20"/>
      <c r="E25" s="20"/>
      <c r="F25" s="20"/>
      <c r="G25" s="20"/>
      <c r="H25" s="21" t="str">
        <f t="shared" si="0"/>
        <v/>
      </c>
      <c r="I25" s="22" t="str">
        <f t="shared" si="1"/>
        <v/>
      </c>
      <c r="J25" s="30"/>
      <c r="K25" s="30"/>
      <c r="L25" s="24"/>
    </row>
    <row r="26" spans="1:12" x14ac:dyDescent="0.2">
      <c r="A26" s="16">
        <f t="shared" si="2"/>
        <v>4</v>
      </c>
      <c r="B26" s="23">
        <f t="shared" si="3"/>
        <v>43154</v>
      </c>
      <c r="C26" s="19"/>
      <c r="D26" s="20"/>
      <c r="E26" s="20"/>
      <c r="F26" s="20"/>
      <c r="G26" s="20"/>
      <c r="H26" s="21" t="str">
        <f t="shared" si="0"/>
        <v/>
      </c>
      <c r="I26" s="22" t="str">
        <f t="shared" si="1"/>
        <v/>
      </c>
      <c r="J26" s="30"/>
      <c r="K26" s="30"/>
      <c r="L26" s="24"/>
    </row>
    <row r="27" spans="1:12" x14ac:dyDescent="0.2">
      <c r="A27" s="16">
        <f t="shared" si="2"/>
        <v>4</v>
      </c>
      <c r="B27" s="23">
        <f t="shared" si="3"/>
        <v>43155</v>
      </c>
      <c r="C27" s="19"/>
      <c r="D27" s="20"/>
      <c r="E27" s="20"/>
      <c r="F27" s="20"/>
      <c r="G27" s="20"/>
      <c r="H27" s="21" t="str">
        <f t="shared" si="0"/>
        <v/>
      </c>
      <c r="I27" s="22" t="str">
        <f t="shared" si="1"/>
        <v/>
      </c>
      <c r="J27" s="30"/>
      <c r="K27" s="30"/>
      <c r="L27" s="24"/>
    </row>
    <row r="28" spans="1:12" x14ac:dyDescent="0.2">
      <c r="A28" s="16">
        <f t="shared" si="2"/>
        <v>4</v>
      </c>
      <c r="B28" s="23">
        <f t="shared" si="3"/>
        <v>43156</v>
      </c>
      <c r="C28" s="19"/>
      <c r="D28" s="20"/>
      <c r="E28" s="20"/>
      <c r="F28" s="20"/>
      <c r="G28" s="20"/>
      <c r="H28" s="21" t="str">
        <f t="shared" si="0"/>
        <v/>
      </c>
      <c r="I28" s="22" t="str">
        <f t="shared" si="1"/>
        <v/>
      </c>
      <c r="J28" s="30"/>
      <c r="K28" s="30"/>
      <c r="L28" s="24"/>
    </row>
    <row r="29" spans="1:12" x14ac:dyDescent="0.2">
      <c r="A29" s="16">
        <f t="shared" si="2"/>
        <v>5</v>
      </c>
      <c r="B29" s="23">
        <f t="shared" si="3"/>
        <v>43157</v>
      </c>
      <c r="C29" s="19"/>
      <c r="D29" s="20"/>
      <c r="E29" s="20"/>
      <c r="F29" s="20"/>
      <c r="G29" s="20"/>
      <c r="H29" s="21" t="str">
        <f t="shared" si="0"/>
        <v/>
      </c>
      <c r="I29" s="22" t="str">
        <f t="shared" si="1"/>
        <v/>
      </c>
      <c r="J29" s="30"/>
      <c r="K29" s="30"/>
      <c r="L29" s="24"/>
    </row>
    <row r="30" spans="1:12" x14ac:dyDescent="0.2">
      <c r="A30" s="16">
        <f t="shared" si="2"/>
        <v>5</v>
      </c>
      <c r="B30" s="23">
        <f t="shared" si="3"/>
        <v>43158</v>
      </c>
      <c r="C30" s="19"/>
      <c r="D30" s="20"/>
      <c r="E30" s="20"/>
      <c r="F30" s="20"/>
      <c r="G30" s="20"/>
      <c r="H30" s="21" t="str">
        <f t="shared" si="0"/>
        <v/>
      </c>
      <c r="I30" s="22" t="str">
        <f t="shared" si="1"/>
        <v/>
      </c>
      <c r="J30" s="30"/>
      <c r="K30" s="30"/>
      <c r="L30" s="24"/>
    </row>
    <row r="31" spans="1:12" x14ac:dyDescent="0.2">
      <c r="A31" s="16">
        <f t="shared" si="2"/>
        <v>5</v>
      </c>
      <c r="B31" s="23">
        <f t="shared" si="3"/>
        <v>43159</v>
      </c>
      <c r="C31" s="19"/>
      <c r="D31" s="20"/>
      <c r="E31" s="20"/>
      <c r="F31" s="20"/>
      <c r="G31" s="20"/>
      <c r="H31" s="21" t="str">
        <f t="shared" si="0"/>
        <v/>
      </c>
      <c r="I31" s="22" t="str">
        <f t="shared" si="1"/>
        <v/>
      </c>
      <c r="J31" s="30"/>
      <c r="K31" s="30"/>
      <c r="L31" s="24"/>
    </row>
    <row r="32" spans="1:12" x14ac:dyDescent="0.2">
      <c r="A32" s="16" t="str">
        <f t="shared" si="2"/>
        <v/>
      </c>
      <c r="B32" s="23" t="str">
        <f t="shared" si="3"/>
        <v/>
      </c>
      <c r="C32" s="19"/>
      <c r="D32" s="20"/>
      <c r="E32" s="20"/>
      <c r="F32" s="20"/>
      <c r="G32" s="20"/>
      <c r="H32" s="21" t="str">
        <f t="shared" si="0"/>
        <v/>
      </c>
      <c r="I32" s="22" t="str">
        <f t="shared" si="1"/>
        <v/>
      </c>
      <c r="J32" s="30"/>
      <c r="K32" s="30"/>
      <c r="L32" s="25"/>
    </row>
    <row r="33" spans="1:12" x14ac:dyDescent="0.2">
      <c r="A33" s="16" t="str">
        <f t="shared" si="2"/>
        <v/>
      </c>
      <c r="B33" s="23" t="str">
        <f t="shared" si="3"/>
        <v/>
      </c>
      <c r="C33" s="19"/>
      <c r="D33" s="20"/>
      <c r="E33" s="20"/>
      <c r="F33" s="20"/>
      <c r="G33" s="20"/>
      <c r="H33" s="21" t="str">
        <f t="shared" si="0"/>
        <v/>
      </c>
      <c r="I33" s="22" t="str">
        <f t="shared" si="1"/>
        <v/>
      </c>
      <c r="J33" s="30"/>
      <c r="K33" s="30"/>
      <c r="L33" s="25"/>
    </row>
    <row r="34" spans="1:12" x14ac:dyDescent="0.2">
      <c r="B34" s="3"/>
      <c r="D34" s="1"/>
      <c r="E34" s="7"/>
      <c r="F34" s="7"/>
      <c r="G34" s="1"/>
      <c r="H34" s="15"/>
      <c r="I34" s="15"/>
      <c r="J34" s="15"/>
      <c r="K34" s="15"/>
    </row>
    <row r="35" spans="1:12" x14ac:dyDescent="0.2">
      <c r="A35" s="17"/>
      <c r="B35" s="11" t="s">
        <v>4</v>
      </c>
      <c r="C35" s="17"/>
      <c r="D35" s="10"/>
      <c r="E35" s="13"/>
      <c r="F35" s="9"/>
      <c r="G35" s="18" t="str">
        <f>COUNT(G3:G34) &amp; " days"</f>
        <v>0 days</v>
      </c>
      <c r="H35" s="9">
        <f>MROUND(SUM(H3:H34),0.5)</f>
        <v>0</v>
      </c>
      <c r="I35" s="8">
        <f>MROUND(SUM(I3:I34),0.5)</f>
        <v>0</v>
      </c>
      <c r="J35" s="9">
        <f>MROUND(SUM(J3:J34),0.5)</f>
        <v>0</v>
      </c>
      <c r="K35" s="9">
        <f>MROUND(SUM(K3:K34),0.5)</f>
        <v>0</v>
      </c>
      <c r="L35" s="31"/>
    </row>
    <row r="36" spans="1:12" ht="12.75" customHeight="1" x14ac:dyDescent="0.2">
      <c r="K36" s="60">
        <f>H35</f>
        <v>0</v>
      </c>
      <c r="L36" t="s">
        <v>20</v>
      </c>
    </row>
    <row r="37" spans="1:12" ht="12.75" customHeight="1" x14ac:dyDescent="0.2">
      <c r="K37" s="60">
        <f>IF(MROUND(SUM(J35:K35),0.5)&lt;&gt;I35,"ERR",$I35)</f>
        <v>0</v>
      </c>
      <c r="L37" t="s">
        <v>21</v>
      </c>
    </row>
  </sheetData>
  <conditionalFormatting sqref="C6:C32 B6:B33 B5:C5 A5:A33 A4:C4 L4:L32 A3:L3 D4:G32 H4:K33">
    <cfRule type="expression" dxfId="13" priority="4" stopIfTrue="1">
      <formula>OR(WEEKDAY($B3,1)=1,WEEKDAY($B3,1)=7,$C3="H")</formula>
    </cfRule>
  </conditionalFormatting>
  <conditionalFormatting sqref="C33:G33 L33">
    <cfRule type="expression" dxfId="12" priority="2" stopIfTrue="1">
      <formula>OR(WEEKDAY($B33,1)=1,WEEKDAY($B33,1)=7,$C33="H")</formula>
    </cfRule>
  </conditionalFormatting>
  <conditionalFormatting sqref="K36:K37">
    <cfRule type="expression" dxfId="11" priority="1">
      <formula>MOD(K36,1)&gt;0</formula>
    </cfRule>
  </conditionalFormatting>
  <dataValidations count="1">
    <dataValidation type="list" allowBlank="1" sqref="D3:G33" xr:uid="{00000000-0002-0000-0000-000000000000}">
      <formula1>Time</formula1>
    </dataValidation>
  </dataValidations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tnReset">
              <controlPr defaultSize="0" print="0" autoFill="0" autoPict="0" macro="[0]!MAIN">
                <anchor>
                  <from>
                    <xdr:col>13</xdr:col>
                    <xdr:colOff>19050</xdr:colOff>
                    <xdr:row>1</xdr:row>
                    <xdr:rowOff>76200</xdr:rowOff>
                  </from>
                  <to>
                    <xdr:col>16</xdr:col>
                    <xdr:colOff>590550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Button5_Click">
                <anchor moveWithCells="1">
                  <from>
                    <xdr:col>13</xdr:col>
                    <xdr:colOff>9525</xdr:colOff>
                    <xdr:row>3</xdr:row>
                    <xdr:rowOff>85725</xdr:rowOff>
                  </from>
                  <to>
                    <xdr:col>16</xdr:col>
                    <xdr:colOff>581025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Button6_Click">
                <anchor moveWithCells="1">
                  <from>
                    <xdr:col>13</xdr:col>
                    <xdr:colOff>9525</xdr:colOff>
                    <xdr:row>5</xdr:row>
                    <xdr:rowOff>114300</xdr:rowOff>
                  </from>
                  <to>
                    <xdr:col>16</xdr:col>
                    <xdr:colOff>590550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I9"/>
  <sheetViews>
    <sheetView showGridLines="0" workbookViewId="0">
      <selection activeCell="AG2" sqref="AG2"/>
    </sheetView>
  </sheetViews>
  <sheetFormatPr defaultRowHeight="12.75" x14ac:dyDescent="0.2"/>
  <cols>
    <col min="1" max="1" width="3.28515625" customWidth="1"/>
    <col min="3" max="3" width="3.7109375" customWidth="1"/>
    <col min="4" max="32" width="4.140625" customWidth="1"/>
    <col min="33" max="34" width="4" customWidth="1"/>
  </cols>
  <sheetData>
    <row r="1" spans="1:35" ht="125.25" customHeight="1" x14ac:dyDescent="0.2">
      <c r="C1" s="32">
        <f>DATE(YEAR(FirstDay),MONTH(FirstDay),DAY(FirstDay))</f>
        <v>43131</v>
      </c>
      <c r="D1" s="33">
        <f t="shared" ref="D1:AG1" si="0">SUM(C1,1)</f>
        <v>43132</v>
      </c>
      <c r="E1" s="33">
        <f t="shared" si="0"/>
        <v>43133</v>
      </c>
      <c r="F1" s="33">
        <f t="shared" si="0"/>
        <v>43134</v>
      </c>
      <c r="G1" s="33">
        <f t="shared" si="0"/>
        <v>43135</v>
      </c>
      <c r="H1" s="33">
        <f t="shared" si="0"/>
        <v>43136</v>
      </c>
      <c r="I1" s="33">
        <f t="shared" si="0"/>
        <v>43137</v>
      </c>
      <c r="J1" s="33">
        <f t="shared" si="0"/>
        <v>43138</v>
      </c>
      <c r="K1" s="33">
        <f t="shared" si="0"/>
        <v>43139</v>
      </c>
      <c r="L1" s="33">
        <f t="shared" si="0"/>
        <v>43140</v>
      </c>
      <c r="M1" s="33">
        <f t="shared" si="0"/>
        <v>43141</v>
      </c>
      <c r="N1" s="33">
        <f t="shared" si="0"/>
        <v>43142</v>
      </c>
      <c r="O1" s="33">
        <f t="shared" si="0"/>
        <v>43143</v>
      </c>
      <c r="P1" s="33">
        <f t="shared" si="0"/>
        <v>43144</v>
      </c>
      <c r="Q1" s="33">
        <f t="shared" si="0"/>
        <v>43145</v>
      </c>
      <c r="R1" s="33">
        <f t="shared" si="0"/>
        <v>43146</v>
      </c>
      <c r="S1" s="33">
        <f t="shared" si="0"/>
        <v>43147</v>
      </c>
      <c r="T1" s="33">
        <f t="shared" si="0"/>
        <v>43148</v>
      </c>
      <c r="U1" s="33">
        <f t="shared" si="0"/>
        <v>43149</v>
      </c>
      <c r="V1" s="33">
        <f t="shared" si="0"/>
        <v>43150</v>
      </c>
      <c r="W1" s="33">
        <f t="shared" si="0"/>
        <v>43151</v>
      </c>
      <c r="X1" s="33">
        <f t="shared" si="0"/>
        <v>43152</v>
      </c>
      <c r="Y1" s="33">
        <f t="shared" si="0"/>
        <v>43153</v>
      </c>
      <c r="Z1" s="33">
        <f t="shared" si="0"/>
        <v>43154</v>
      </c>
      <c r="AA1" s="33">
        <f t="shared" si="0"/>
        <v>43155</v>
      </c>
      <c r="AB1" s="33">
        <f t="shared" si="0"/>
        <v>43156</v>
      </c>
      <c r="AC1" s="33">
        <f t="shared" si="0"/>
        <v>43157</v>
      </c>
      <c r="AD1" s="33">
        <f t="shared" si="0"/>
        <v>43158</v>
      </c>
      <c r="AE1" s="33">
        <f t="shared" si="0"/>
        <v>43159</v>
      </c>
      <c r="AF1" s="33">
        <f t="shared" si="0"/>
        <v>43160</v>
      </c>
      <c r="AG1" s="33">
        <f t="shared" si="0"/>
        <v>43161</v>
      </c>
      <c r="AH1" s="48"/>
      <c r="AI1" s="38"/>
    </row>
    <row r="2" spans="1:35" ht="15.75" customHeight="1" x14ac:dyDescent="0.2">
      <c r="C2" s="61">
        <f>C1</f>
        <v>43131</v>
      </c>
      <c r="D2" s="61">
        <f>D1</f>
        <v>43132</v>
      </c>
      <c r="E2" s="61">
        <f>E1</f>
        <v>43133</v>
      </c>
      <c r="F2" s="61">
        <f>F1</f>
        <v>43134</v>
      </c>
      <c r="G2" s="61">
        <f>G1</f>
        <v>43135</v>
      </c>
      <c r="H2" s="61">
        <f t="shared" ref="H2:AG2" si="1">H1</f>
        <v>43136</v>
      </c>
      <c r="I2" s="61">
        <f t="shared" si="1"/>
        <v>43137</v>
      </c>
      <c r="J2" s="61">
        <f t="shared" si="1"/>
        <v>43138</v>
      </c>
      <c r="K2" s="61">
        <f t="shared" si="1"/>
        <v>43139</v>
      </c>
      <c r="L2" s="61">
        <f t="shared" si="1"/>
        <v>43140</v>
      </c>
      <c r="M2" s="61">
        <f t="shared" si="1"/>
        <v>43141</v>
      </c>
      <c r="N2" s="61">
        <f t="shared" si="1"/>
        <v>43142</v>
      </c>
      <c r="O2" s="61">
        <f t="shared" si="1"/>
        <v>43143</v>
      </c>
      <c r="P2" s="61">
        <f t="shared" si="1"/>
        <v>43144</v>
      </c>
      <c r="Q2" s="61">
        <f t="shared" si="1"/>
        <v>43145</v>
      </c>
      <c r="R2" s="61">
        <f t="shared" si="1"/>
        <v>43146</v>
      </c>
      <c r="S2" s="61">
        <f t="shared" si="1"/>
        <v>43147</v>
      </c>
      <c r="T2" s="61">
        <f t="shared" si="1"/>
        <v>43148</v>
      </c>
      <c r="U2" s="61">
        <f t="shared" si="1"/>
        <v>43149</v>
      </c>
      <c r="V2" s="61">
        <f t="shared" si="1"/>
        <v>43150</v>
      </c>
      <c r="W2" s="61">
        <f t="shared" si="1"/>
        <v>43151</v>
      </c>
      <c r="X2" s="61">
        <f t="shared" si="1"/>
        <v>43152</v>
      </c>
      <c r="Y2" s="61">
        <f t="shared" si="1"/>
        <v>43153</v>
      </c>
      <c r="Z2" s="61">
        <f t="shared" si="1"/>
        <v>43154</v>
      </c>
      <c r="AA2" s="61">
        <f t="shared" si="1"/>
        <v>43155</v>
      </c>
      <c r="AB2" s="61">
        <f t="shared" si="1"/>
        <v>43156</v>
      </c>
      <c r="AC2" s="61">
        <f t="shared" si="1"/>
        <v>43157</v>
      </c>
      <c r="AD2" s="61">
        <f t="shared" si="1"/>
        <v>43158</v>
      </c>
      <c r="AE2" s="61">
        <f t="shared" si="1"/>
        <v>43159</v>
      </c>
      <c r="AF2" s="61">
        <f t="shared" si="1"/>
        <v>43160</v>
      </c>
      <c r="AG2" s="61">
        <f t="shared" si="1"/>
        <v>43161</v>
      </c>
      <c r="AH2" s="55"/>
      <c r="AI2" s="38"/>
    </row>
    <row r="3" spans="1:35" ht="8.25" customHeight="1" x14ac:dyDescent="0.2">
      <c r="AH3" s="56"/>
      <c r="AI3" s="38"/>
    </row>
    <row r="4" spans="1:35" ht="15.75" customHeight="1" x14ac:dyDescent="0.2">
      <c r="A4" s="65" t="s">
        <v>8</v>
      </c>
      <c r="B4" s="65"/>
      <c r="C4" s="34" t="str">
        <f>IF('Sign-in'!$C3="H","H8",IF('Sign-in'!$H3="","-",'Sign-in'!$H3))</f>
        <v>-</v>
      </c>
      <c r="D4" s="35" t="str">
        <f>IF('Sign-in'!$C4="H","H8",IF('Sign-in'!$H4="","-",'Sign-in'!$H4))</f>
        <v>-</v>
      </c>
      <c r="E4" s="35" t="str">
        <f>IF('Sign-in'!$C5="H","H8",IF('Sign-in'!$H5="","-",'Sign-in'!$H5))</f>
        <v>-</v>
      </c>
      <c r="F4" s="35" t="str">
        <f>IF('Sign-in'!$C6="H","H8",IF('Sign-in'!$H6="","-",'Sign-in'!$H6))</f>
        <v>-</v>
      </c>
      <c r="G4" s="35" t="str">
        <f>IF('Sign-in'!$C7="H","H8",IF('Sign-in'!$H7="","-",'Sign-in'!$H7))</f>
        <v>-</v>
      </c>
      <c r="H4" s="35" t="str">
        <f>IF('Sign-in'!$C8="H","H8",IF('Sign-in'!$H8="","-",'Sign-in'!$H8))</f>
        <v>-</v>
      </c>
      <c r="I4" s="35" t="str">
        <f>IF('Sign-in'!$C9="H","H8",IF('Sign-in'!$H9="","-",'Sign-in'!$H9))</f>
        <v>-</v>
      </c>
      <c r="J4" s="35" t="str">
        <f>IF('Sign-in'!$C10="H","H8",IF('Sign-in'!$H10="","-",'Sign-in'!$H10))</f>
        <v>-</v>
      </c>
      <c r="K4" s="35" t="str">
        <f>IF('Sign-in'!$C11="H","H8",IF('Sign-in'!$H11="","-",'Sign-in'!$H11))</f>
        <v>-</v>
      </c>
      <c r="L4" s="35" t="str">
        <f>IF('Sign-in'!$C12="H","H8",IF('Sign-in'!$H12="","-",'Sign-in'!$H12))</f>
        <v>-</v>
      </c>
      <c r="M4" s="35" t="str">
        <f>IF('Sign-in'!$C13="H","H8",IF('Sign-in'!$H13="","-",'Sign-in'!$H13))</f>
        <v>-</v>
      </c>
      <c r="N4" s="35" t="str">
        <f>IF('Sign-in'!$C14="H","H8",IF('Sign-in'!$H14="","-",'Sign-in'!$H14))</f>
        <v>-</v>
      </c>
      <c r="O4" s="35" t="str">
        <f>IF('Sign-in'!$C15="H","H8",IF('Sign-in'!$H15="","-",'Sign-in'!$H15))</f>
        <v>-</v>
      </c>
      <c r="P4" s="35" t="str">
        <f>IF('Sign-in'!$C16="H","H8",IF('Sign-in'!$H16="","-",'Sign-in'!$H16))</f>
        <v>-</v>
      </c>
      <c r="Q4" s="35" t="str">
        <f>IF('Sign-in'!$C17="H","H8",IF('Sign-in'!$H17="","-",'Sign-in'!$H17))</f>
        <v>-</v>
      </c>
      <c r="R4" s="35" t="str">
        <f>IF('Sign-in'!$C18="H","H8",IF('Sign-in'!$H18="","-",'Sign-in'!$H18))</f>
        <v>-</v>
      </c>
      <c r="S4" s="35" t="str">
        <f>IF('Sign-in'!$C19="H","H8",IF('Sign-in'!$H19="","-",'Sign-in'!$H19))</f>
        <v>-</v>
      </c>
      <c r="T4" s="35" t="str">
        <f>IF('Sign-in'!$C20="H","H8",IF('Sign-in'!$H20="","-",'Sign-in'!$H20))</f>
        <v>-</v>
      </c>
      <c r="U4" s="35" t="str">
        <f>IF('Sign-in'!$C21="H","H8",IF('Sign-in'!$H21="","-",'Sign-in'!$H21))</f>
        <v>-</v>
      </c>
      <c r="V4" s="35" t="str">
        <f>IF('Sign-in'!$C22="H","H8",IF('Sign-in'!$H22="","-",'Sign-in'!$H22))</f>
        <v>-</v>
      </c>
      <c r="W4" s="35" t="str">
        <f>IF('Sign-in'!$C23="H","H8",IF('Sign-in'!$H23="","-",'Sign-in'!$H23))</f>
        <v>-</v>
      </c>
      <c r="X4" s="35" t="str">
        <f>IF('Sign-in'!$C24="H","H8",IF('Sign-in'!$H24="","-",'Sign-in'!$H24))</f>
        <v>-</v>
      </c>
      <c r="Y4" s="35" t="str">
        <f>IF('Sign-in'!$C25="H","H8",IF('Sign-in'!$H25="","-",'Sign-in'!$H25))</f>
        <v>-</v>
      </c>
      <c r="Z4" s="35" t="str">
        <f>IF('Sign-in'!$C26="H","H8",IF('Sign-in'!$H26="","-",'Sign-in'!$H26))</f>
        <v>-</v>
      </c>
      <c r="AA4" s="35" t="str">
        <f>IF('Sign-in'!$C27="H","H8",IF('Sign-in'!$H27="","-",'Sign-in'!$H27))</f>
        <v>-</v>
      </c>
      <c r="AB4" s="35" t="str">
        <f>IF('Sign-in'!$C28="H","H8",IF('Sign-in'!$H28="","-",'Sign-in'!$H28))</f>
        <v>-</v>
      </c>
      <c r="AC4" s="35" t="str">
        <f>IF('Sign-in'!$C29="H","H8",IF('Sign-in'!$H29="","-",'Sign-in'!$H29))</f>
        <v>-</v>
      </c>
      <c r="AD4" s="35" t="str">
        <f>IF('Sign-in'!$C30="H","H8",IF('Sign-in'!$H30="","-",'Sign-in'!$H30))</f>
        <v>-</v>
      </c>
      <c r="AE4" s="35" t="str">
        <f>IF('Sign-in'!$C31="H","H8",IF('Sign-in'!$H31="","-",'Sign-in'!$H31))</f>
        <v>-</v>
      </c>
      <c r="AF4" s="35" t="str">
        <f>IF('Sign-in'!$C32="H","H8",IF('Sign-in'!$H32="","-",'Sign-in'!$H32))</f>
        <v>-</v>
      </c>
      <c r="AG4" s="49" t="str">
        <f>IF('Sign-in'!$C33="H","H8",IF('Sign-in'!$H33="","-",'Sign-in'!$H33))</f>
        <v>-</v>
      </c>
      <c r="AH4" s="35"/>
      <c r="AI4" s="36">
        <f>SUM(COUNTIF(C4:AG4,"H8")*8,C4:AG4)</f>
        <v>0</v>
      </c>
    </row>
    <row r="5" spans="1:35" ht="9" customHeight="1" x14ac:dyDescent="0.2">
      <c r="A5" s="47"/>
      <c r="B5" s="47"/>
      <c r="AH5" s="54"/>
      <c r="AI5" s="36"/>
    </row>
    <row r="6" spans="1:35" ht="13.5" thickBot="1" x14ac:dyDescent="0.25">
      <c r="A6" s="65" t="s">
        <v>22</v>
      </c>
      <c r="B6" s="66"/>
      <c r="C6" s="39" t="str">
        <f>IF(COUNTBLANK(C7),"","SL")</f>
        <v/>
      </c>
      <c r="D6" s="40" t="str">
        <f t="shared" ref="D6:AG6" si="2">IF(COUNTBLANK(D7),"","SL")</f>
        <v/>
      </c>
      <c r="E6" s="40" t="str">
        <f t="shared" si="2"/>
        <v/>
      </c>
      <c r="F6" s="40" t="str">
        <f t="shared" si="2"/>
        <v/>
      </c>
      <c r="G6" s="40" t="str">
        <f t="shared" si="2"/>
        <v/>
      </c>
      <c r="H6" s="40" t="str">
        <f t="shared" si="2"/>
        <v/>
      </c>
      <c r="I6" s="40" t="str">
        <f t="shared" si="2"/>
        <v/>
      </c>
      <c r="J6" s="40" t="str">
        <f t="shared" si="2"/>
        <v/>
      </c>
      <c r="K6" s="40" t="str">
        <f t="shared" si="2"/>
        <v/>
      </c>
      <c r="L6" s="40" t="str">
        <f t="shared" si="2"/>
        <v/>
      </c>
      <c r="M6" s="40" t="str">
        <f t="shared" si="2"/>
        <v/>
      </c>
      <c r="N6" s="40" t="str">
        <f t="shared" si="2"/>
        <v/>
      </c>
      <c r="O6" s="40" t="str">
        <f t="shared" si="2"/>
        <v/>
      </c>
      <c r="P6" s="40" t="str">
        <f t="shared" si="2"/>
        <v/>
      </c>
      <c r="Q6" s="40" t="str">
        <f t="shared" si="2"/>
        <v/>
      </c>
      <c r="R6" s="40" t="str">
        <f t="shared" si="2"/>
        <v/>
      </c>
      <c r="S6" s="40" t="str">
        <f t="shared" si="2"/>
        <v/>
      </c>
      <c r="T6" s="40" t="str">
        <f t="shared" si="2"/>
        <v/>
      </c>
      <c r="U6" s="40" t="str">
        <f t="shared" si="2"/>
        <v/>
      </c>
      <c r="V6" s="40" t="str">
        <f t="shared" si="2"/>
        <v/>
      </c>
      <c r="W6" s="40" t="str">
        <f t="shared" si="2"/>
        <v/>
      </c>
      <c r="X6" s="40" t="str">
        <f t="shared" si="2"/>
        <v/>
      </c>
      <c r="Y6" s="40" t="str">
        <f t="shared" si="2"/>
        <v/>
      </c>
      <c r="Z6" s="40" t="str">
        <f t="shared" si="2"/>
        <v/>
      </c>
      <c r="AA6" s="40" t="str">
        <f t="shared" si="2"/>
        <v/>
      </c>
      <c r="AB6" s="40" t="str">
        <f t="shared" si="2"/>
        <v/>
      </c>
      <c r="AC6" s="40" t="str">
        <f t="shared" si="2"/>
        <v/>
      </c>
      <c r="AD6" s="40" t="str">
        <f t="shared" si="2"/>
        <v/>
      </c>
      <c r="AE6" s="40" t="str">
        <f t="shared" si="2"/>
        <v/>
      </c>
      <c r="AF6" s="40" t="str">
        <f t="shared" si="2"/>
        <v/>
      </c>
      <c r="AG6" s="50" t="str">
        <f t="shared" si="2"/>
        <v/>
      </c>
      <c r="AH6" s="58"/>
      <c r="AI6" s="37"/>
    </row>
    <row r="7" spans="1:35" ht="13.5" thickTop="1" x14ac:dyDescent="0.2">
      <c r="A7" s="65" t="s">
        <v>19</v>
      </c>
      <c r="B7" s="66"/>
      <c r="C7" s="41" t="str">
        <f>IF('Sign-in'!$J3="","",'Sign-in'!$J3)</f>
        <v/>
      </c>
      <c r="D7" s="42" t="str">
        <f>IF('Sign-in'!$J4="","",'Sign-in'!$J4)</f>
        <v/>
      </c>
      <c r="E7" s="42" t="str">
        <f>IF('Sign-in'!$J5="","",'Sign-in'!$J5)</f>
        <v/>
      </c>
      <c r="F7" s="42" t="str">
        <f>IF('Sign-in'!$J6="","",'Sign-in'!$J6)</f>
        <v/>
      </c>
      <c r="G7" s="42" t="str">
        <f>IF('Sign-in'!$J7="","",'Sign-in'!$J7)</f>
        <v/>
      </c>
      <c r="H7" s="42" t="str">
        <f>IF('Sign-in'!$J8="","",'Sign-in'!$J8)</f>
        <v/>
      </c>
      <c r="I7" s="42" t="str">
        <f>IF('Sign-in'!$J9="","",'Sign-in'!$J9)</f>
        <v/>
      </c>
      <c r="J7" s="42" t="str">
        <f>IF('Sign-in'!$J10="","",'Sign-in'!$J10)</f>
        <v/>
      </c>
      <c r="K7" s="42" t="str">
        <f>IF('Sign-in'!$J11="","",'Sign-in'!$J11)</f>
        <v/>
      </c>
      <c r="L7" s="42" t="str">
        <f>IF('Sign-in'!$J12="","",'Sign-in'!$J12)</f>
        <v/>
      </c>
      <c r="M7" s="42" t="str">
        <f>IF('Sign-in'!$J13="","",'Sign-in'!$J13)</f>
        <v/>
      </c>
      <c r="N7" s="42" t="str">
        <f>IF('Sign-in'!$J14="","",'Sign-in'!$J14)</f>
        <v/>
      </c>
      <c r="O7" s="42" t="str">
        <f>IF('Sign-in'!$J15="","",'Sign-in'!$J15)</f>
        <v/>
      </c>
      <c r="P7" s="42" t="str">
        <f>IF('Sign-in'!$J16="","",'Sign-in'!$J16)</f>
        <v/>
      </c>
      <c r="Q7" s="42" t="str">
        <f>IF('Sign-in'!$J17="","",'Sign-in'!$J17)</f>
        <v/>
      </c>
      <c r="R7" s="42" t="str">
        <f>IF('Sign-in'!$J18="","",'Sign-in'!$J18)</f>
        <v/>
      </c>
      <c r="S7" s="42" t="str">
        <f>IF('Sign-in'!$J19="","",'Sign-in'!$J19)</f>
        <v/>
      </c>
      <c r="T7" s="42" t="str">
        <f>IF('Sign-in'!$J20="","",'Sign-in'!$J20)</f>
        <v/>
      </c>
      <c r="U7" s="42" t="str">
        <f>IF('Sign-in'!$J21="","",'Sign-in'!$J21)</f>
        <v/>
      </c>
      <c r="V7" s="42" t="str">
        <f>IF('Sign-in'!$J22="","",'Sign-in'!$J22)</f>
        <v/>
      </c>
      <c r="W7" s="42" t="str">
        <f>IF('Sign-in'!$J23="","",'Sign-in'!$J23)</f>
        <v/>
      </c>
      <c r="X7" s="42" t="str">
        <f>IF('Sign-in'!$J24="","",'Sign-in'!$J24)</f>
        <v/>
      </c>
      <c r="Y7" s="42" t="str">
        <f>IF('Sign-in'!$J25="","",'Sign-in'!$J25)</f>
        <v/>
      </c>
      <c r="Z7" s="42" t="str">
        <f>IF('Sign-in'!$J26="","",'Sign-in'!$J26)</f>
        <v/>
      </c>
      <c r="AA7" s="42" t="str">
        <f>IF('Sign-in'!$J27="","",'Sign-in'!$J27)</f>
        <v/>
      </c>
      <c r="AB7" s="42" t="str">
        <f>IF('Sign-in'!$J28="","",'Sign-in'!$J28)</f>
        <v/>
      </c>
      <c r="AC7" s="42" t="str">
        <f>IF('Sign-in'!$J29="","",'Sign-in'!$J29)</f>
        <v/>
      </c>
      <c r="AD7" s="42" t="str">
        <f>IF('Sign-in'!$J30="","",'Sign-in'!$J30)</f>
        <v/>
      </c>
      <c r="AE7" s="42" t="str">
        <f>IF('Sign-in'!$J31="","",'Sign-in'!$J31)</f>
        <v/>
      </c>
      <c r="AF7" s="42" t="str">
        <f>IF('Sign-in'!$J32="","",'Sign-in'!$J32)</f>
        <v/>
      </c>
      <c r="AG7" s="51" t="str">
        <f>IF('Sign-in'!$J33="","",'Sign-in'!$J33)</f>
        <v/>
      </c>
      <c r="AH7" s="57"/>
      <c r="AI7" s="36">
        <f>SUM(C7:AG7)</f>
        <v>0</v>
      </c>
    </row>
    <row r="8" spans="1:35" ht="13.5" thickBot="1" x14ac:dyDescent="0.25">
      <c r="A8" s="65" t="s">
        <v>23</v>
      </c>
      <c r="B8" s="66"/>
      <c r="C8" s="43" t="str">
        <f>IF(COUNTBLANK(C9),"","VA")</f>
        <v/>
      </c>
      <c r="D8" s="44" t="str">
        <f t="shared" ref="D8:AG8" si="3">IF(COUNTBLANK(D9),"","VA")</f>
        <v/>
      </c>
      <c r="E8" s="44" t="str">
        <f t="shared" si="3"/>
        <v/>
      </c>
      <c r="F8" s="44" t="str">
        <f t="shared" si="3"/>
        <v/>
      </c>
      <c r="G8" s="44" t="str">
        <f t="shared" si="3"/>
        <v/>
      </c>
      <c r="H8" s="44" t="str">
        <f t="shared" si="3"/>
        <v/>
      </c>
      <c r="I8" s="44" t="str">
        <f t="shared" si="3"/>
        <v/>
      </c>
      <c r="J8" s="44" t="str">
        <f t="shared" si="3"/>
        <v/>
      </c>
      <c r="K8" s="44" t="str">
        <f t="shared" si="3"/>
        <v/>
      </c>
      <c r="L8" s="44" t="str">
        <f t="shared" si="3"/>
        <v/>
      </c>
      <c r="M8" s="44" t="str">
        <f t="shared" si="3"/>
        <v/>
      </c>
      <c r="N8" s="44" t="str">
        <f t="shared" si="3"/>
        <v/>
      </c>
      <c r="O8" s="44" t="str">
        <f t="shared" si="3"/>
        <v/>
      </c>
      <c r="P8" s="44" t="str">
        <f t="shared" si="3"/>
        <v/>
      </c>
      <c r="Q8" s="44" t="str">
        <f t="shared" si="3"/>
        <v/>
      </c>
      <c r="R8" s="44" t="str">
        <f t="shared" si="3"/>
        <v/>
      </c>
      <c r="S8" s="44" t="str">
        <f t="shared" si="3"/>
        <v/>
      </c>
      <c r="T8" s="44" t="str">
        <f t="shared" si="3"/>
        <v/>
      </c>
      <c r="U8" s="44" t="str">
        <f t="shared" si="3"/>
        <v/>
      </c>
      <c r="V8" s="44" t="str">
        <f t="shared" si="3"/>
        <v/>
      </c>
      <c r="W8" s="44" t="str">
        <f t="shared" si="3"/>
        <v/>
      </c>
      <c r="X8" s="44" t="str">
        <f t="shared" si="3"/>
        <v/>
      </c>
      <c r="Y8" s="44" t="str">
        <f t="shared" si="3"/>
        <v/>
      </c>
      <c r="Z8" s="44" t="str">
        <f t="shared" si="3"/>
        <v/>
      </c>
      <c r="AA8" s="44" t="str">
        <f t="shared" si="3"/>
        <v/>
      </c>
      <c r="AB8" s="44" t="str">
        <f t="shared" si="3"/>
        <v/>
      </c>
      <c r="AC8" s="44" t="str">
        <f t="shared" si="3"/>
        <v/>
      </c>
      <c r="AD8" s="44" t="str">
        <f t="shared" si="3"/>
        <v/>
      </c>
      <c r="AE8" s="44" t="str">
        <f t="shared" si="3"/>
        <v/>
      </c>
      <c r="AF8" s="44" t="str">
        <f t="shared" si="3"/>
        <v/>
      </c>
      <c r="AG8" s="52" t="str">
        <f t="shared" si="3"/>
        <v/>
      </c>
      <c r="AH8" s="59"/>
      <c r="AI8" s="37"/>
    </row>
    <row r="9" spans="1:35" ht="13.5" thickTop="1" x14ac:dyDescent="0.2">
      <c r="A9" s="65" t="s">
        <v>10</v>
      </c>
      <c r="B9" s="66"/>
      <c r="C9" s="45" t="str">
        <f>IF('Sign-in'!$K3="","",'Sign-in'!$K3)</f>
        <v/>
      </c>
      <c r="D9" s="46" t="str">
        <f>IF('Sign-in'!$K4="","",'Sign-in'!$K4)</f>
        <v/>
      </c>
      <c r="E9" s="46" t="str">
        <f>IF('Sign-in'!$K5="","",'Sign-in'!$K5)</f>
        <v/>
      </c>
      <c r="F9" s="46" t="str">
        <f>IF('Sign-in'!$K6="","",'Sign-in'!$K6)</f>
        <v/>
      </c>
      <c r="G9" s="46" t="str">
        <f>IF('Sign-in'!$K7="","",'Sign-in'!$K7)</f>
        <v/>
      </c>
      <c r="H9" s="46" t="str">
        <f>IF('Sign-in'!$K8="","",'Sign-in'!$K8)</f>
        <v/>
      </c>
      <c r="I9" s="46" t="str">
        <f>IF('Sign-in'!$K9="","",'Sign-in'!$K9)</f>
        <v/>
      </c>
      <c r="J9" s="46" t="str">
        <f>IF('Sign-in'!$K10="","",'Sign-in'!$K10)</f>
        <v/>
      </c>
      <c r="K9" s="46" t="str">
        <f>IF('Sign-in'!$K11="","",'Sign-in'!$K11)</f>
        <v/>
      </c>
      <c r="L9" s="46" t="str">
        <f>IF('Sign-in'!$K12="","",'Sign-in'!$K12)</f>
        <v/>
      </c>
      <c r="M9" s="46" t="str">
        <f>IF('Sign-in'!$K13="","",'Sign-in'!$K13)</f>
        <v/>
      </c>
      <c r="N9" s="46" t="str">
        <f>IF('Sign-in'!$K14="","",'Sign-in'!$K14)</f>
        <v/>
      </c>
      <c r="O9" s="46" t="str">
        <f>IF('Sign-in'!$K15="","",'Sign-in'!$K15)</f>
        <v/>
      </c>
      <c r="P9" s="46" t="str">
        <f>IF('Sign-in'!$K16="","",'Sign-in'!$K16)</f>
        <v/>
      </c>
      <c r="Q9" s="46" t="str">
        <f>IF('Sign-in'!$K17="","",'Sign-in'!$K17)</f>
        <v/>
      </c>
      <c r="R9" s="46" t="str">
        <f>IF('Sign-in'!$K18="","",'Sign-in'!$K18)</f>
        <v/>
      </c>
      <c r="S9" s="46" t="str">
        <f>IF('Sign-in'!$K19="","",'Sign-in'!$K19)</f>
        <v/>
      </c>
      <c r="T9" s="46" t="str">
        <f>IF('Sign-in'!$K20="","",'Sign-in'!$K20)</f>
        <v/>
      </c>
      <c r="U9" s="46" t="str">
        <f>IF('Sign-in'!$K21="","",'Sign-in'!$K21)</f>
        <v/>
      </c>
      <c r="V9" s="46" t="str">
        <f>IF('Sign-in'!$K22="","",'Sign-in'!$K22)</f>
        <v/>
      </c>
      <c r="W9" s="46" t="str">
        <f>IF('Sign-in'!$K23="","",'Sign-in'!$K23)</f>
        <v/>
      </c>
      <c r="X9" s="46" t="str">
        <f>IF('Sign-in'!$K24="","",'Sign-in'!$K24)</f>
        <v/>
      </c>
      <c r="Y9" s="46" t="str">
        <f>IF('Sign-in'!$K25="","",'Sign-in'!$K25)</f>
        <v/>
      </c>
      <c r="Z9" s="46" t="str">
        <f>IF('Sign-in'!$K26="","",'Sign-in'!$K26)</f>
        <v/>
      </c>
      <c r="AA9" s="46" t="str">
        <f>IF('Sign-in'!$K27="","",'Sign-in'!$K27)</f>
        <v/>
      </c>
      <c r="AB9" s="46" t="str">
        <f>IF('Sign-in'!$K28="","",'Sign-in'!$K28)</f>
        <v/>
      </c>
      <c r="AC9" s="46" t="str">
        <f>IF('Sign-in'!$K29="","",'Sign-in'!$K29)</f>
        <v/>
      </c>
      <c r="AD9" s="46" t="str">
        <f>IF('Sign-in'!$K30="","",'Sign-in'!$K30)</f>
        <v/>
      </c>
      <c r="AE9" s="46" t="str">
        <f>IF('Sign-in'!$K31="","",'Sign-in'!$K31)</f>
        <v/>
      </c>
      <c r="AF9" s="46" t="str">
        <f>IF('Sign-in'!$K32="","",'Sign-in'!$K32)</f>
        <v/>
      </c>
      <c r="AG9" s="53" t="str">
        <f>IF('Sign-in'!$K33="","",'Sign-in'!$K33)</f>
        <v/>
      </c>
      <c r="AH9" s="57"/>
      <c r="AI9" s="36">
        <f>SUM(C9:AG9)</f>
        <v>0</v>
      </c>
    </row>
  </sheetData>
  <mergeCells count="5">
    <mergeCell ref="A4:B4"/>
    <mergeCell ref="A6:B6"/>
    <mergeCell ref="A7:B7"/>
    <mergeCell ref="A8:B8"/>
    <mergeCell ref="A9:B9"/>
  </mergeCells>
  <conditionalFormatting sqref="C1:AF1">
    <cfRule type="expression" dxfId="10" priority="5" stopIfTrue="1">
      <formula>OR(WEEKDAY($D1,1)=1,WEEKDAY($D1,1)=7,$E1="H")</formula>
    </cfRule>
  </conditionalFormatting>
  <conditionalFormatting sqref="AG1:AH1">
    <cfRule type="expression" dxfId="9" priority="4" stopIfTrue="1">
      <formula>OR(WEEKDAY($D1,1)=1,WEEKDAY($D1,1)=7,$E1="H")</formula>
    </cfRule>
  </conditionalFormatting>
  <conditionalFormatting sqref="AI4:AI9">
    <cfRule type="expression" dxfId="8" priority="2">
      <formula>MOD(AI4,1)&gt;0</formula>
    </cfRule>
  </conditionalFormatting>
  <conditionalFormatting sqref="C4:AH4 C6:AH6">
    <cfRule type="expression" dxfId="7" priority="1">
      <formula>C4="H8"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tnRecalc634">
              <controlPr defaultSize="0" print="0" autoFill="0" autoPict="0" macro="[0]!Sht1Btn_Click">
                <anchor moveWithCells="1">
                  <from>
                    <xdr:col>35</xdr:col>
                    <xdr:colOff>257175</xdr:colOff>
                    <xdr:row>0</xdr:row>
                    <xdr:rowOff>238125</xdr:rowOff>
                  </from>
                  <to>
                    <xdr:col>37</xdr:col>
                    <xdr:colOff>19050</xdr:colOff>
                    <xdr:row>0</xdr:row>
                    <xdr:rowOff>1076325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30"/>
  <sheetViews>
    <sheetView workbookViewId="0">
      <selection activeCell="C1" sqref="C1"/>
    </sheetView>
  </sheetViews>
  <sheetFormatPr defaultRowHeight="12.75" x14ac:dyDescent="0.2"/>
  <cols>
    <col min="2" max="2" width="14.7109375" customWidth="1"/>
    <col min="3" max="3" width="9.7109375" bestFit="1" customWidth="1"/>
    <col min="4" max="4" width="10.5703125" style="63" bestFit="1" customWidth="1"/>
    <col min="5" max="5" width="12.28515625" style="63" bestFit="1" customWidth="1"/>
    <col min="6" max="6" width="10.5703125" style="63" bestFit="1" customWidth="1"/>
    <col min="7" max="7" width="10.28515625" style="63" bestFit="1" customWidth="1"/>
    <col min="8" max="8" width="14.28515625" style="63" bestFit="1" customWidth="1"/>
    <col min="9" max="9" width="10.7109375" bestFit="1" customWidth="1"/>
    <col min="10" max="15" width="12.85546875" bestFit="1" customWidth="1"/>
    <col min="16" max="16" width="10.7109375" bestFit="1" customWidth="1"/>
  </cols>
  <sheetData>
    <row r="1" spans="1:9" x14ac:dyDescent="0.2">
      <c r="A1" t="s">
        <v>9</v>
      </c>
      <c r="C1"/>
      <c r="D1" s="63"/>
      <c r="E1" s="63"/>
      <c r="F1" s="63"/>
      <c r="G1" s="63"/>
      <c r="H1" s="63"/>
      <c r="I1"/>
    </row>
    <row r="2" spans="1:9" x14ac:dyDescent="0.2">
      <c r="A2" s="26">
        <v>0.3125</v>
      </c>
      <c r="C2" s="62"/>
      <c r="D2" s="64"/>
      <c r="E2" s="64"/>
      <c r="F2" s="64"/>
      <c r="G2" s="64"/>
      <c r="H2" s="64"/>
      <c r="I2" s="62"/>
    </row>
    <row r="3" spans="1:9" x14ac:dyDescent="0.2">
      <c r="A3" s="26">
        <v>0.33333333333333331</v>
      </c>
      <c r="C3" s="62"/>
      <c r="D3" s="64"/>
      <c r="E3" s="64"/>
      <c r="F3" s="64"/>
      <c r="G3" s="64"/>
      <c r="H3" s="64"/>
      <c r="I3" s="62"/>
    </row>
    <row r="4" spans="1:9" x14ac:dyDescent="0.2">
      <c r="A4" s="26">
        <v>0.35416666666666702</v>
      </c>
      <c r="C4" s="62"/>
      <c r="D4" s="64"/>
      <c r="E4" s="64"/>
      <c r="F4" s="64"/>
      <c r="G4" s="64"/>
      <c r="H4" s="64"/>
      <c r="I4" s="62"/>
    </row>
    <row r="5" spans="1:9" x14ac:dyDescent="0.2">
      <c r="A5" s="26">
        <v>0.375</v>
      </c>
      <c r="C5" s="62"/>
      <c r="D5" s="64"/>
      <c r="E5" s="64"/>
      <c r="F5" s="64"/>
      <c r="G5" s="64"/>
      <c r="H5" s="64"/>
      <c r="I5" s="62"/>
    </row>
    <row r="6" spans="1:9" x14ac:dyDescent="0.2">
      <c r="A6" s="26">
        <v>0.39583333333333298</v>
      </c>
      <c r="C6" s="62"/>
      <c r="D6" s="64"/>
      <c r="E6" s="64"/>
      <c r="F6" s="64"/>
      <c r="G6" s="64"/>
      <c r="H6" s="64"/>
      <c r="I6" s="62"/>
    </row>
    <row r="7" spans="1:9" x14ac:dyDescent="0.2">
      <c r="A7" s="26">
        <v>0.41666666666666702</v>
      </c>
      <c r="C7" s="62"/>
      <c r="D7" s="64"/>
      <c r="E7" s="64"/>
      <c r="F7" s="64"/>
      <c r="G7" s="64"/>
      <c r="H7" s="64"/>
      <c r="I7" s="62"/>
    </row>
    <row r="8" spans="1:9" x14ac:dyDescent="0.2">
      <c r="A8" s="26">
        <v>0.4375</v>
      </c>
    </row>
    <row r="9" spans="1:9" x14ac:dyDescent="0.2">
      <c r="A9" s="26">
        <v>0.45833333333333298</v>
      </c>
    </row>
    <row r="10" spans="1:9" x14ac:dyDescent="0.2">
      <c r="A10" s="26">
        <v>0.47916666666666702</v>
      </c>
    </row>
    <row r="11" spans="1:9" x14ac:dyDescent="0.2">
      <c r="A11" s="26">
        <v>0.5</v>
      </c>
    </row>
    <row r="12" spans="1:9" x14ac:dyDescent="0.2">
      <c r="A12" s="26">
        <v>0.52083333333333304</v>
      </c>
    </row>
    <row r="13" spans="1:9" x14ac:dyDescent="0.2">
      <c r="A13" s="26">
        <v>0.54166666666666596</v>
      </c>
    </row>
    <row r="14" spans="1:9" x14ac:dyDescent="0.2">
      <c r="A14" s="26">
        <v>0.5625</v>
      </c>
    </row>
    <row r="15" spans="1:9" x14ac:dyDescent="0.2">
      <c r="A15" s="26">
        <v>0.58333333333333304</v>
      </c>
    </row>
    <row r="16" spans="1:9" x14ac:dyDescent="0.2">
      <c r="A16" s="26">
        <v>0.60416666666666596</v>
      </c>
    </row>
    <row r="17" spans="1:2" x14ac:dyDescent="0.2">
      <c r="A17" s="26">
        <v>0.625</v>
      </c>
    </row>
    <row r="18" spans="1:2" x14ac:dyDescent="0.2">
      <c r="A18" s="26">
        <v>0.64583333333333304</v>
      </c>
    </row>
    <row r="19" spans="1:2" x14ac:dyDescent="0.2">
      <c r="A19" s="26">
        <v>0.66666666666666596</v>
      </c>
    </row>
    <row r="20" spans="1:2" x14ac:dyDescent="0.2">
      <c r="A20" s="26">
        <v>0.6875</v>
      </c>
    </row>
    <row r="21" spans="1:2" x14ac:dyDescent="0.2">
      <c r="A21" s="26">
        <v>0.70833333333333304</v>
      </c>
    </row>
    <row r="22" spans="1:2" x14ac:dyDescent="0.2">
      <c r="A22" s="26">
        <v>0.72916666666666596</v>
      </c>
    </row>
    <row r="23" spans="1:2" x14ac:dyDescent="0.2">
      <c r="A23" s="26">
        <v>0.75</v>
      </c>
    </row>
    <row r="24" spans="1:2" x14ac:dyDescent="0.2">
      <c r="A24" s="26">
        <v>0.77083333333333304</v>
      </c>
    </row>
    <row r="26" spans="1:2" x14ac:dyDescent="0.2">
      <c r="A26">
        <v>2018</v>
      </c>
      <c r="B26" t="s">
        <v>11</v>
      </c>
    </row>
    <row r="27" spans="1:2" x14ac:dyDescent="0.2">
      <c r="A27">
        <v>1</v>
      </c>
      <c r="B27" t="s">
        <v>14</v>
      </c>
    </row>
    <row r="28" spans="1:2" x14ac:dyDescent="0.2">
      <c r="A28">
        <v>31</v>
      </c>
      <c r="B28" t="s">
        <v>12</v>
      </c>
    </row>
    <row r="29" spans="1:2" x14ac:dyDescent="0.2">
      <c r="A29">
        <v>2</v>
      </c>
      <c r="B29" t="s">
        <v>15</v>
      </c>
    </row>
    <row r="30" spans="1:2" x14ac:dyDescent="0.2">
      <c r="A30">
        <v>28</v>
      </c>
      <c r="B30" t="s">
        <v>13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F1D2D1E-8A25-45C7-9C83-815BF8C99FA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Sign-in</vt:lpstr>
      <vt:lpstr>634</vt:lpstr>
      <vt:lpstr>Data</vt:lpstr>
      <vt:lpstr>EndDay</vt:lpstr>
      <vt:lpstr>EndMonth</vt:lpstr>
      <vt:lpstr>FirstDay</vt:lpstr>
      <vt:lpstr>StartDay</vt:lpstr>
      <vt:lpstr>StartMonth</vt:lpstr>
      <vt:lpstr>StartYear</vt:lpstr>
      <vt:lpstr>Time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Bryan.Lundeen@dsh.ca.gov</dc:creator>
  <cp:lastModifiedBy>Lundeen, Bryan@DSH-N</cp:lastModifiedBy>
  <cp:lastPrinted>2016-04-29T15:31:12Z</cp:lastPrinted>
  <dcterms:created xsi:type="dcterms:W3CDTF">2014-02-28T19:15:44Z</dcterms:created>
  <dcterms:modified xsi:type="dcterms:W3CDTF">2019-02-04T16:46:48Z</dcterms:modified>
</cp:coreProperties>
</file>